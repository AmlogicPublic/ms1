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565" tabRatio="791" firstSheet="1" activeTab="1"/>
  </bookViews>
  <sheets>
    <sheet name="Revision" sheetId="1" r:id="rId1"/>
    <sheet name="MS1 pinmux register" sheetId="11" r:id="rId2"/>
    <sheet name="MS1 Pinmux V06(from suoli)" sheetId="2" r:id="rId3"/>
    <sheet name="Peripherals IO" sheetId="7" r:id="rId4"/>
    <sheet name="To do" sheetId="9" r:id="rId5"/>
    <sheet name="Pinout-20250310" sheetId="10" r:id="rId6"/>
    <sheet name="ms1_pinmux_export" sheetId="12" r:id="rId7"/>
    <sheet name="Analog GPIO Type" sheetId="13" r:id="rId8"/>
  </sheets>
  <definedNames>
    <definedName name="_xlnm._FilterDatabase" localSheetId="2" hidden="1">'MS1 Pinmux V06(from suoli)'!$B$1:$U$58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<sst xmlns="http://schemas.openxmlformats.org/spreadsheetml/2006/main" count="2202" uniqueCount="692">
  <si>
    <t>V0</t>
  </si>
  <si>
    <t>Suoli</t>
  </si>
  <si>
    <t>First version</t>
  </si>
  <si>
    <t>V01</t>
  </si>
  <si>
    <t>Update I2C/Jtag</t>
  </si>
  <si>
    <t>删除 GPIOH_16/17 I2C Slave mux</t>
  </si>
  <si>
    <t>GPIOW_2/3 的I2CM移到Fun5</t>
  </si>
  <si>
    <t>GPIOW_2/3、GPIOW_6/7增加Jtag Pinmux</t>
  </si>
  <si>
    <t>GPIOAO_12-15 增加Jtag Pinmux</t>
  </si>
  <si>
    <t>jian.liao</t>
  </si>
  <si>
    <t>update pinmux register</t>
  </si>
  <si>
    <t>V02</t>
  </si>
  <si>
    <t>Update GPIOW</t>
  </si>
  <si>
    <t>删除GPIOW_2 / GPIOW_3的Debug I2C mux</t>
  </si>
  <si>
    <t>GPIOW_2 / GPIOW_3 增加 I2CM_A 的mux</t>
  </si>
  <si>
    <t>GPIOW_6 / GPIOW_7 增加 I2CM_A 的mux</t>
  </si>
  <si>
    <t>GPIOW_6 / GPIOW_7 增加 UART_A 的mux</t>
  </si>
  <si>
    <t>GPIOW_0 - GPIOW_11 default功能改为Fun 1</t>
  </si>
  <si>
    <t>GPIOW_4 / GPIOW_8的PIN Type改为OD_5V_TBD</t>
  </si>
  <si>
    <t>增加GPIOW_12 CEC IO</t>
  </si>
  <si>
    <t>Update GPIOAO</t>
  </si>
  <si>
    <t>GPIOAO_14 / GPIOAO_14 I2C改为I2C_PROD</t>
  </si>
  <si>
    <t>GPIOAO_0-GPIOAO_5和GPIOAO_12-GPIOAO_15 default功能改为Fun 1</t>
  </si>
  <si>
    <t>GPIOAO_12-GPIOAO_15把Jtag放到Fun1</t>
  </si>
  <si>
    <t>Update SARADC</t>
  </si>
  <si>
    <t>SARADC 改为EE Domain</t>
  </si>
  <si>
    <t>Update GPIOH</t>
  </si>
  <si>
    <t>GPIOH_19 增加UART_B_RTS mux</t>
  </si>
  <si>
    <t>GPIOH_22 增加UART_B_CTS mux</t>
  </si>
  <si>
    <t>GPIOH_16 / GPIOH_17 增加I2CM_B mux</t>
  </si>
  <si>
    <t>GPIOAO_10 Fun2改为PWM_AO_A</t>
  </si>
  <si>
    <t>GPIOAO_11 Fun2改为PWM_AO_B</t>
  </si>
  <si>
    <t>GPIOH_2 / GPIOH_3增加I2CM_B mux</t>
  </si>
  <si>
    <t>GPIOH_4-GPIOH_7 增加UART_B mux</t>
  </si>
  <si>
    <t>V03</t>
  </si>
  <si>
    <t>Update IO type</t>
  </si>
  <si>
    <t>按Gengyan提供的IO Type，更新GPIO信息</t>
  </si>
  <si>
    <t>GPIOH_0 增加eDP TX HPD mux到
BCON0-11改到GPIOH_1-12</t>
  </si>
  <si>
    <t>PWM_E / PWM_F 增加PWM_VS Mux</t>
  </si>
  <si>
    <t>VGA VS / HS需要5V耐压，pinmux调整到GPIO H20/H21</t>
  </si>
  <si>
    <t>GPIOH_22改为5V耐压IO</t>
  </si>
  <si>
    <t>GPIOAO_0 - GPIOAO_5 增加 SPI_A Port信号mux</t>
  </si>
  <si>
    <t>V04</t>
  </si>
  <si>
    <t>Update VGA</t>
  </si>
  <si>
    <t>VGA增加两个Analog IO：VGA_VS / VGA_HS；
Default做VGA用途，复用</t>
  </si>
  <si>
    <t>删除GPIOH_20 / GPIOH_21两个GPIO
原GPIOH_22更改为GPIOH_20</t>
  </si>
  <si>
    <t>V05</t>
  </si>
  <si>
    <t>VGA VS / HS Fun1改为Analog 功能；
Fun2 改为复用的UART_B mux；
Default full 改为down；
Defaul Fun 改为1；</t>
  </si>
  <si>
    <t>Update Audio DAC</t>
  </si>
  <si>
    <t>Audio DAC的 Fun1改为Analog 功能；
Fun2 改为复用的I2S/SPDIF mux；
Defaul Fun 改为1；</t>
  </si>
  <si>
    <t>V06</t>
  </si>
  <si>
    <t>VGA_VS/HS Fun2改为UART A Port
Fun3增加UART B Port功能</t>
  </si>
  <si>
    <t>Update IO Type</t>
  </si>
  <si>
    <t>按照后端要求，更新IO Type</t>
  </si>
  <si>
    <t>GPIOW_2 /3 IO Type 更新，不和DP复用</t>
  </si>
  <si>
    <t>Update GPIO_H</t>
  </si>
  <si>
    <t>增加GPIOH_21 / GPIOH_22</t>
  </si>
  <si>
    <t>PWM_C_HIZ / PWM_D_HIZ 增加（oe）注释</t>
  </si>
  <si>
    <t>Group</t>
  </si>
  <si>
    <t>PIN</t>
  </si>
  <si>
    <t>TEST</t>
  </si>
  <si>
    <t>IO Type</t>
  </si>
  <si>
    <t>Default Pull</t>
  </si>
  <si>
    <t>Default Driving</t>
  </si>
  <si>
    <t>Default Func</t>
  </si>
  <si>
    <t>Fun0</t>
  </si>
  <si>
    <t>Fun1</t>
  </si>
  <si>
    <t>Fun2</t>
  </si>
  <si>
    <t>Fun3</t>
  </si>
  <si>
    <t>Fun4</t>
  </si>
  <si>
    <t>Fun5</t>
  </si>
  <si>
    <t>Fun6</t>
  </si>
  <si>
    <t>Fun7</t>
  </si>
  <si>
    <t>PINMUX</t>
  </si>
  <si>
    <t>reg_o/oen/i/pd/pu</t>
  </si>
  <si>
    <t>DS</t>
  </si>
  <si>
    <t>GPIOW</t>
  </si>
  <si>
    <t>GPIOW_0</t>
  </si>
  <si>
    <t>OD_5V</t>
  </si>
  <si>
    <t>-</t>
  </si>
  <si>
    <t>reg</t>
  </si>
  <si>
    <t>HDMIRX_HPD_A</t>
  </si>
  <si>
    <t>AO_REG_2</t>
  </si>
  <si>
    <t>3:0</t>
  </si>
  <si>
    <t>REG_GPIOW</t>
  </si>
  <si>
    <t>GPIOW_1</t>
  </si>
  <si>
    <t>HDMIRX_5VDET_A(in)</t>
  </si>
  <si>
    <t>7:4</t>
  </si>
  <si>
    <t>GPIOW_2</t>
  </si>
  <si>
    <t>HDMIRX_SDA_A(oe)</t>
  </si>
  <si>
    <t>UART_A_TX</t>
  </si>
  <si>
    <t>JTAG_A_CLK(in)</t>
  </si>
  <si>
    <t>GPIOW3_LOOP</t>
  </si>
  <si>
    <t>I2CM_A_SDA(oe)</t>
  </si>
  <si>
    <t>11:8</t>
  </si>
  <si>
    <t>GPIOW_3</t>
  </si>
  <si>
    <t>HDMIRX_SCL_A(oe)</t>
  </si>
  <si>
    <t>UART_A_RX(in)</t>
  </si>
  <si>
    <t>JTAG_A_TMS(in)</t>
  </si>
  <si>
    <t>GPIOW2_LOOP</t>
  </si>
  <si>
    <t>I2CM_A_SCL(oe)</t>
  </si>
  <si>
    <t>15:12</t>
  </si>
  <si>
    <t>GPIOW_4</t>
  </si>
  <si>
    <t>HDMIRX_HPD_B</t>
  </si>
  <si>
    <t>DP_HPD_A</t>
  </si>
  <si>
    <t>19:16</t>
  </si>
  <si>
    <t>GPIOW_5</t>
  </si>
  <si>
    <t>HDMIRX_5VDET_B(in)</t>
  </si>
  <si>
    <t>DP_DET_A(in)</t>
  </si>
  <si>
    <t>23:20</t>
  </si>
  <si>
    <t>GPIOW_6</t>
  </si>
  <si>
    <t>OD_5VX2_DPAUX</t>
  </si>
  <si>
    <t>HDMIRX_SDA_B(oe)</t>
  </si>
  <si>
    <t>DP_AUX_P_A</t>
  </si>
  <si>
    <t>JTAG_A_TDI(in)</t>
  </si>
  <si>
    <t>27:24</t>
  </si>
  <si>
    <t>GPIOW_7</t>
  </si>
  <si>
    <t>HDMIRX_SCL_B(oe)</t>
  </si>
  <si>
    <t>DP_AUX_N_A</t>
  </si>
  <si>
    <t>JTAG_A_TDO(oe)</t>
  </si>
  <si>
    <t>31:28</t>
  </si>
  <si>
    <t>GPIOW_8</t>
  </si>
  <si>
    <t>DP_HPD_B</t>
  </si>
  <si>
    <t>AO_REG_3</t>
  </si>
  <si>
    <t>GPIOW_9</t>
  </si>
  <si>
    <t>DP_DET_B(in)</t>
  </si>
  <si>
    <t>GPIOW_10</t>
  </si>
  <si>
    <t>DP_AUX_P_B</t>
  </si>
  <si>
    <t>GPIOW_11</t>
  </si>
  <si>
    <t>DP_AUX_N_B</t>
  </si>
  <si>
    <t>GPIOW_12</t>
  </si>
  <si>
    <t>ODIO33</t>
  </si>
  <si>
    <t>CEC(oe)</t>
  </si>
  <si>
    <t>GPIOW_13</t>
  </si>
  <si>
    <t>GPIOAO</t>
  </si>
  <si>
    <t>RESET_N</t>
  </si>
  <si>
    <t>DIO</t>
  </si>
  <si>
    <t>HiZ</t>
  </si>
  <si>
    <t>N/A</t>
  </si>
  <si>
    <t>TEST_N</t>
  </si>
  <si>
    <t>Up</t>
  </si>
  <si>
    <t>REG_TESTN</t>
  </si>
  <si>
    <t>1:0</t>
  </si>
  <si>
    <t>GPIOAO_0</t>
  </si>
  <si>
    <t>t2</t>
  </si>
  <si>
    <t>Down</t>
  </si>
  <si>
    <t>SPINF_MO_D0(oe)</t>
  </si>
  <si>
    <t>SPI_MOSI_A(oe)</t>
  </si>
  <si>
    <t>AO_REG_0</t>
  </si>
  <si>
    <t>REG_GPIOAO</t>
  </si>
  <si>
    <t>GPIOAO_1</t>
  </si>
  <si>
    <t>t3</t>
  </si>
  <si>
    <t>SPINF_MI_D1(oe)</t>
  </si>
  <si>
    <t>SPI_MISO_A(oe)</t>
  </si>
  <si>
    <t>3:2</t>
  </si>
  <si>
    <t>GPIOAO_2</t>
  </si>
  <si>
    <t>t4</t>
  </si>
  <si>
    <t>SPINF_WP_D2(oe)</t>
  </si>
  <si>
    <t>SPI_DQ2_A(oe)</t>
  </si>
  <si>
    <t>5:4</t>
  </si>
  <si>
    <t>GPIOAO_3</t>
  </si>
  <si>
    <t>t5</t>
  </si>
  <si>
    <t>SPINF_HOLD_D3(oe)</t>
  </si>
  <si>
    <t>SPI_DQ3_A(oe)</t>
  </si>
  <si>
    <t>7:6</t>
  </si>
  <si>
    <t>GPIOAO_4</t>
  </si>
  <si>
    <t>SPINF_CLK(oe)</t>
  </si>
  <si>
    <t>GEN_CLK_OUT</t>
  </si>
  <si>
    <t>SPI_CLK_A(oe)</t>
  </si>
  <si>
    <t>9:8</t>
  </si>
  <si>
    <t>GPIOAO_5</t>
  </si>
  <si>
    <t>t6</t>
  </si>
  <si>
    <t>SPINF_CS0(oe)</t>
  </si>
  <si>
    <t>SPI_SS0_A(oe)</t>
  </si>
  <si>
    <t xml:space="preserve"> </t>
  </si>
  <si>
    <t>11:10</t>
  </si>
  <si>
    <t>GPIOAO_6</t>
  </si>
  <si>
    <t>t7</t>
  </si>
  <si>
    <t>PWM_AO_A</t>
  </si>
  <si>
    <t>13:12</t>
  </si>
  <si>
    <t>GPIOAO_7</t>
  </si>
  <si>
    <t>t8</t>
  </si>
  <si>
    <t>PWM_AO_B</t>
  </si>
  <si>
    <t>15:14</t>
  </si>
  <si>
    <t>GPIOAO_8</t>
  </si>
  <si>
    <t>t9</t>
  </si>
  <si>
    <t>PWM_AO_C</t>
  </si>
  <si>
    <t>IR_IN_A(in)</t>
  </si>
  <si>
    <t>PWM_AO_C_HIZ(oe)</t>
  </si>
  <si>
    <t>AO_REG_1</t>
  </si>
  <si>
    <t>17:16</t>
  </si>
  <si>
    <t>GPIOAO_9</t>
  </si>
  <si>
    <t>t10</t>
  </si>
  <si>
    <t>PWM_AO_D</t>
  </si>
  <si>
    <t>CLK12_24M</t>
  </si>
  <si>
    <t>PWM_AO_D_HIZ(oe)</t>
  </si>
  <si>
    <t>GPIOAO11_LOOP</t>
  </si>
  <si>
    <t>19:18</t>
  </si>
  <si>
    <t>GPIOAO_10</t>
  </si>
  <si>
    <t>t11</t>
  </si>
  <si>
    <t>21:20</t>
  </si>
  <si>
    <t>GPIOAO_11</t>
  </si>
  <si>
    <t>t12</t>
  </si>
  <si>
    <t>GPIOAO9_LOOP</t>
  </si>
  <si>
    <t>23:22</t>
  </si>
  <si>
    <t>GPIOAO_12</t>
  </si>
  <si>
    <t>t13</t>
  </si>
  <si>
    <t>25:24</t>
  </si>
  <si>
    <t>GPIOAO_13</t>
  </si>
  <si>
    <t>t14</t>
  </si>
  <si>
    <t>27:26</t>
  </si>
  <si>
    <t>GPIOAO_14</t>
  </si>
  <si>
    <t>t0</t>
  </si>
  <si>
    <t>29:28</t>
  </si>
  <si>
    <t>GPIOAO_15</t>
  </si>
  <si>
    <t>t1</t>
  </si>
  <si>
    <t>31:30</t>
  </si>
  <si>
    <t>GPIOH</t>
  </si>
  <si>
    <t>GPIOH_0</t>
  </si>
  <si>
    <t>eDP_HPD(in)</t>
  </si>
  <si>
    <t>DEBUG_BUS_OUT0</t>
  </si>
  <si>
    <t>EE_REG_0</t>
  </si>
  <si>
    <t>REG_GPIOH</t>
  </si>
  <si>
    <t>GPIOH_1</t>
  </si>
  <si>
    <t>t15</t>
  </si>
  <si>
    <t>BCON_0(oe)</t>
  </si>
  <si>
    <t>TST_CLK_OUT0</t>
  </si>
  <si>
    <t>DEBUG_BUS_OUT1</t>
  </si>
  <si>
    <t>GPIOH_2</t>
  </si>
  <si>
    <t>t16</t>
  </si>
  <si>
    <t>BCON_1(oe)</t>
  </si>
  <si>
    <t>I2CM_B_SCL(oe)</t>
  </si>
  <si>
    <t>TST_CLK_OUT1</t>
  </si>
  <si>
    <t>DEBUG_BUS_OUT2</t>
  </si>
  <si>
    <t>GPIOH_3</t>
  </si>
  <si>
    <t>t17</t>
  </si>
  <si>
    <t>BCON_2(oe)</t>
  </si>
  <si>
    <t>I2CM_B_SDA(oe)</t>
  </si>
  <si>
    <t>TST_CLK_OUT2</t>
  </si>
  <si>
    <t>DEBUG_BUS_OUT3</t>
  </si>
  <si>
    <t>GPIOH_4</t>
  </si>
  <si>
    <t>t18</t>
  </si>
  <si>
    <t>BCON_3(oe)</t>
  </si>
  <si>
    <t>UART_B_RTS</t>
  </si>
  <si>
    <t>TST_CLK_OUT3</t>
  </si>
  <si>
    <t>DEBUG_BUS_OUT4</t>
  </si>
  <si>
    <t>GPIOH_5</t>
  </si>
  <si>
    <t>t19</t>
  </si>
  <si>
    <t>BCON_4(oe)</t>
  </si>
  <si>
    <t>UART_B_TX</t>
  </si>
  <si>
    <t>TST_CLK_OUT4</t>
  </si>
  <si>
    <t>DEBUG_BUS_OUT5</t>
  </si>
  <si>
    <t>GPIOH_6</t>
  </si>
  <si>
    <t>t20</t>
  </si>
  <si>
    <t>BCON_5(oe)</t>
  </si>
  <si>
    <t>UART_B_RX(in)</t>
  </si>
  <si>
    <t>TST_CLK_OUT5</t>
  </si>
  <si>
    <t>DEBUG_BUS_OUT6</t>
  </si>
  <si>
    <t>GPIOH_7</t>
  </si>
  <si>
    <t>t21</t>
  </si>
  <si>
    <t>BCON_6(oe)</t>
  </si>
  <si>
    <t>UART_B_CTS(in)</t>
  </si>
  <si>
    <t>TST_CLK_OUT6</t>
  </si>
  <si>
    <t>DEBUG_BUS_OUT7</t>
  </si>
  <si>
    <t>GPIOH_8</t>
  </si>
  <si>
    <t>t22</t>
  </si>
  <si>
    <t>BCON_7(oe)</t>
  </si>
  <si>
    <t>PWM_E</t>
  </si>
  <si>
    <t>PWM_VS</t>
  </si>
  <si>
    <t>TST_CLK_OUT7</t>
  </si>
  <si>
    <t>DEBUG_BUS_OUT8</t>
  </si>
  <si>
    <t>EE_REG_1</t>
  </si>
  <si>
    <t>GPIOH_9</t>
  </si>
  <si>
    <t>t23</t>
  </si>
  <si>
    <t>BCON_8(oe)</t>
  </si>
  <si>
    <t>PWM_F</t>
  </si>
  <si>
    <t>TST_CLK_OUT8</t>
  </si>
  <si>
    <t>DEBUG_BUS_OUT9</t>
  </si>
  <si>
    <t>GPIOH_10</t>
  </si>
  <si>
    <t>t24</t>
  </si>
  <si>
    <t>BCON_9(oe)</t>
  </si>
  <si>
    <t>PWM_G</t>
  </si>
  <si>
    <t>TST_CLK_OUT9</t>
  </si>
  <si>
    <t>DEBUG_BUS_OUT10</t>
  </si>
  <si>
    <t>GPIOH_11</t>
  </si>
  <si>
    <t>t25</t>
  </si>
  <si>
    <t>BCON_10(oe)</t>
  </si>
  <si>
    <t>PWM_H</t>
  </si>
  <si>
    <t>DEBUG_BUS_OUT11</t>
  </si>
  <si>
    <t>GPIOH_12</t>
  </si>
  <si>
    <t>t26</t>
  </si>
  <si>
    <t>BCON_11(oe)</t>
  </si>
  <si>
    <t>TST_CLK_OUT10</t>
  </si>
  <si>
    <t>DEBUG_BUS_OUT12</t>
  </si>
  <si>
    <t>GPIOH_13</t>
  </si>
  <si>
    <t>t27</t>
  </si>
  <si>
    <t>TST_CLK_OUT11</t>
  </si>
  <si>
    <t>DEBUG_BUS_OUT13</t>
  </si>
  <si>
    <t>GPIOH_14</t>
  </si>
  <si>
    <t>t28</t>
  </si>
  <si>
    <t>TST_CLK_OUT12</t>
  </si>
  <si>
    <t>DEBUG_BUS_OUT14</t>
  </si>
  <si>
    <t>GPIOH_15</t>
  </si>
  <si>
    <t>t29</t>
  </si>
  <si>
    <t>TST_CLK_OUT13</t>
  </si>
  <si>
    <t>DEBUG_BUS_OUT15</t>
  </si>
  <si>
    <t>GPIOH_16</t>
  </si>
  <si>
    <t>t30</t>
  </si>
  <si>
    <t>TST_CLK_OUT14</t>
  </si>
  <si>
    <t>EE_REG_2</t>
  </si>
  <si>
    <t>REG_GPIOH_EXT</t>
  </si>
  <si>
    <t>GPIOH_17</t>
  </si>
  <si>
    <t>t31</t>
  </si>
  <si>
    <t>TST_CLK_OUT15</t>
  </si>
  <si>
    <t>GPIOH_18</t>
  </si>
  <si>
    <t>t32</t>
  </si>
  <si>
    <t>GPIOH_19</t>
  </si>
  <si>
    <t>t33</t>
  </si>
  <si>
    <t>GPIOH_20</t>
  </si>
  <si>
    <t>GPIOH_21</t>
  </si>
  <si>
    <t>GPIOH_22</t>
  </si>
  <si>
    <t>GPIO_DAC</t>
  </si>
  <si>
    <t>gpioDAC_0</t>
  </si>
  <si>
    <t>AIO</t>
  </si>
  <si>
    <t>(LINEOUT_L)</t>
  </si>
  <si>
    <t>MCLK_1(oe)</t>
  </si>
  <si>
    <t>EE_REG_3</t>
  </si>
  <si>
    <t>REG_GPIODAC</t>
  </si>
  <si>
    <t>gpioDAC_1</t>
  </si>
  <si>
    <t>(LINEOUT_R)</t>
  </si>
  <si>
    <t>TDM_FS1(oe)</t>
  </si>
  <si>
    <t>gpioDAC_2</t>
  </si>
  <si>
    <t>(EARPHONE_L)</t>
  </si>
  <si>
    <t>TDM_SCLK1(oe)</t>
  </si>
  <si>
    <t>gpioDAC_3</t>
  </si>
  <si>
    <t>(EARPHONE_R)</t>
  </si>
  <si>
    <t>TDM_D0(oe)</t>
  </si>
  <si>
    <t>gpioDAC_4</t>
  </si>
  <si>
    <t>(AUDIO_VMID)</t>
  </si>
  <si>
    <t>SPDIF_OUT</t>
  </si>
  <si>
    <t>GPIO_VGA</t>
  </si>
  <si>
    <t>gpioVGA_0</t>
  </si>
  <si>
    <t>(VGA_VS)</t>
  </si>
  <si>
    <t>REG_GPIOVGA</t>
  </si>
  <si>
    <t>gpioVGA_1</t>
  </si>
  <si>
    <t>(VGA_HS)</t>
  </si>
  <si>
    <t>Domain</t>
  </si>
  <si>
    <t>PIN
&amp; IO SN</t>
  </si>
  <si>
    <t>Voltage</t>
  </si>
  <si>
    <t>Default
Pull</t>
  </si>
  <si>
    <t>Default driving
&amp;Recommended
DS setting</t>
  </si>
  <si>
    <t>TEST&amp;FT
Fuction</t>
  </si>
  <si>
    <t>Default Func
&amp;POR Reset
Function</t>
  </si>
  <si>
    <t>WDT
Reset
Note</t>
  </si>
  <si>
    <t>Note1
SW IO
(Func8)</t>
  </si>
  <si>
    <t>Note2
Special
issue</t>
  </si>
  <si>
    <t>Note3
NC in
xx pkg</t>
  </si>
  <si>
    <t>Basic
Function</t>
  </si>
  <si>
    <t>AO
Domai</t>
  </si>
  <si>
    <t>HDMI DDC/HPD</t>
  </si>
  <si>
    <t>HDMI DDC/HPD
DP DDC/HPD</t>
  </si>
  <si>
    <t>DP DDC/HPD</t>
  </si>
  <si>
    <t>3.3V</t>
  </si>
  <si>
    <t>Deglitch valid</t>
  </si>
  <si>
    <t>CEC</t>
  </si>
  <si>
    <t>AO
Domain</t>
  </si>
  <si>
    <t>FT</t>
  </si>
  <si>
    <t>SPINF_MO_D0</t>
  </si>
  <si>
    <t>SPINF_MI_D1</t>
  </si>
  <si>
    <t>SPINF_WP_D2</t>
  </si>
  <si>
    <t>SPINF_HOLD_D3</t>
  </si>
  <si>
    <t>SPINF_CLK(oe)(200M)</t>
  </si>
  <si>
    <t>SPINF_CLK</t>
  </si>
  <si>
    <t>SPINF_CS0</t>
  </si>
  <si>
    <t>VDD_EE PWM / EE Con</t>
  </si>
  <si>
    <t>PWM_C_HIZ</t>
  </si>
  <si>
    <t>IR_IN</t>
  </si>
  <si>
    <t>PWM_D_HIZ</t>
  </si>
  <si>
    <t>AUXN Detect0</t>
  </si>
  <si>
    <t>AUXN Detect1</t>
  </si>
  <si>
    <t>Linux_TX</t>
  </si>
  <si>
    <t>Linux_RX</t>
  </si>
  <si>
    <t>PWM_C_HIZ(oe)</t>
  </si>
  <si>
    <t>LED_R / LED_Y</t>
  </si>
  <si>
    <t>PWM_D_HIZ(oe)</t>
  </si>
  <si>
    <t>Special LED_PWM
Support H-L,  H-Z,  L-Z switching</t>
  </si>
  <si>
    <t>LED_PWM / LED_G</t>
  </si>
  <si>
    <t>RESET</t>
  </si>
  <si>
    <t>5V_EN</t>
  </si>
  <si>
    <t>EE
Domain</t>
  </si>
  <si>
    <t>eDP_HPD</t>
  </si>
  <si>
    <t>SPICC
Local dimming</t>
  </si>
  <si>
    <t>BL_PWM</t>
  </si>
  <si>
    <t>BL_EN</t>
  </si>
  <si>
    <t>Panel_EN</t>
  </si>
  <si>
    <t>PWM_MPRT</t>
  </si>
  <si>
    <t>EE I2C EEPROM</t>
  </si>
  <si>
    <t>EEPROM WP</t>
  </si>
  <si>
    <t>SARADC</t>
  </si>
  <si>
    <t>SARADC_CH0</t>
  </si>
  <si>
    <t>SARADC_CH1</t>
  </si>
  <si>
    <t>SARADC_CH2</t>
  </si>
  <si>
    <t>Type-C V Detect</t>
  </si>
  <si>
    <t>SARADC_CH3</t>
  </si>
  <si>
    <t>VGA</t>
  </si>
  <si>
    <t>VGA_VS</t>
  </si>
  <si>
    <t>Analog IO</t>
  </si>
  <si>
    <t>Reg</t>
  </si>
  <si>
    <t>VGA_VS(in)</t>
  </si>
  <si>
    <t>VGA_HS</t>
  </si>
  <si>
    <t>VGA_HS(in)</t>
  </si>
  <si>
    <t>Audio
DAC</t>
  </si>
  <si>
    <t>LINEOUT_L</t>
  </si>
  <si>
    <t>LINEOUT_R</t>
  </si>
  <si>
    <t>EARPHONE_L</t>
  </si>
  <si>
    <t>EARPHONE_R</t>
  </si>
  <si>
    <t>AUDIO_VMID</t>
  </si>
  <si>
    <t>MS1</t>
  </si>
  <si>
    <t>T6D</t>
  </si>
  <si>
    <t>Interface</t>
  </si>
  <si>
    <t>M1</t>
  </si>
  <si>
    <t>GPIO 数量</t>
  </si>
  <si>
    <t>HDMI DDC Interface</t>
  </si>
  <si>
    <t>HDMIRX DDCA</t>
  </si>
  <si>
    <t>HDMIRX  A</t>
  </si>
  <si>
    <t>Peripherals</t>
  </si>
  <si>
    <t>HDMIRX DDCB</t>
  </si>
  <si>
    <t>HDMIRX  B / DP A</t>
  </si>
  <si>
    <t>I2C</t>
  </si>
  <si>
    <t>UART</t>
  </si>
  <si>
    <t>HDMIRX DDCC</t>
  </si>
  <si>
    <t>DP B</t>
  </si>
  <si>
    <t>MRD</t>
  </si>
  <si>
    <t>Name</t>
  </si>
  <si>
    <t>I2C Location</t>
  </si>
  <si>
    <t>pinmux routing</t>
  </si>
  <si>
    <t>I2C Master</t>
  </si>
  <si>
    <t>UART Interface</t>
  </si>
  <si>
    <t>UART_A</t>
  </si>
  <si>
    <t>Debug UART</t>
  </si>
  <si>
    <t>Debug/Upd i2c</t>
  </si>
  <si>
    <t>Debug I2C</t>
  </si>
  <si>
    <t>AO domian</t>
  </si>
  <si>
    <t>RTL internal to HDMI0/1 I2C pin</t>
  </si>
  <si>
    <t>上电能直接debug mode</t>
  </si>
  <si>
    <t>I2C Slave</t>
  </si>
  <si>
    <t>UART_B</t>
  </si>
  <si>
    <t>master i2c for e2prom</t>
  </si>
  <si>
    <r>
      <rPr>
        <sz val="11"/>
        <color rgb="FF000000"/>
        <rFont val="Calibri"/>
        <charset val="134"/>
      </rPr>
      <t>I2CM_A(</t>
    </r>
    <r>
      <rPr>
        <sz val="11"/>
        <color rgb="FF000000"/>
        <rFont val="宋体"/>
        <charset val="1"/>
      </rPr>
      <t>可配置</t>
    </r>
    <r>
      <rPr>
        <sz val="11"/>
        <color rgb="FF000000"/>
        <rFont val="Calibri"/>
        <charset val="1"/>
      </rPr>
      <t>Slave)</t>
    </r>
  </si>
  <si>
    <t>EE domian</t>
  </si>
  <si>
    <r>
      <rPr>
        <sz val="12"/>
        <color rgb="FFFF0000"/>
        <rFont val="Calibri"/>
        <charset val="134"/>
      </rPr>
      <t xml:space="preserve">pinmux to HDMI0/1 I2C pin
</t>
    </r>
    <r>
      <rPr>
        <sz val="12"/>
        <color rgb="FF000000"/>
        <rFont val="Calibri"/>
        <charset val="134"/>
      </rPr>
      <t>pinmux to EE pin</t>
    </r>
  </si>
  <si>
    <t>SPICC</t>
  </si>
  <si>
    <t>master/slave i2c for external device</t>
  </si>
  <si>
    <r>
      <rPr>
        <sz val="11"/>
        <color rgb="FF000000"/>
        <rFont val="Calibri"/>
        <charset val="134"/>
      </rPr>
      <t>I2CM_B(</t>
    </r>
    <r>
      <rPr>
        <sz val="11"/>
        <color rgb="FF000000"/>
        <rFont val="宋体"/>
        <charset val="1"/>
      </rPr>
      <t>可配置</t>
    </r>
    <r>
      <rPr>
        <sz val="11"/>
        <color rgb="FF000000"/>
        <rFont val="Calibri"/>
        <charset val="1"/>
      </rPr>
      <t>Slave)</t>
    </r>
  </si>
  <si>
    <t>EE domain</t>
  </si>
  <si>
    <t>pinmux to EE pin</t>
  </si>
  <si>
    <t>PWM</t>
  </si>
  <si>
    <t>HDMIRX DDC-I2C(SLV)</t>
  </si>
  <si>
    <t>HDMIRX_I2C A/B</t>
  </si>
  <si>
    <t>video_in_ao(AO domian)</t>
  </si>
  <si>
    <t>pinmux to HDMI0/1 I2C pin</t>
  </si>
  <si>
    <t>2+1</t>
  </si>
  <si>
    <t>Prod I2C</t>
  </si>
  <si>
    <t>I2C_Prod</t>
  </si>
  <si>
    <t>pinmux to GPIO AO14/15</t>
  </si>
  <si>
    <t>SPIFC</t>
  </si>
  <si>
    <t>I2C Master
I2C Slave  Interface</t>
  </si>
  <si>
    <r>
      <rPr>
        <sz val="11"/>
        <rFont val="Arial"/>
        <charset val="134"/>
      </rPr>
      <t>I2CM_A(</t>
    </r>
    <r>
      <rPr>
        <sz val="11"/>
        <rFont val="宋体"/>
        <charset val="134"/>
      </rPr>
      <t>可配置</t>
    </r>
    <r>
      <rPr>
        <sz val="11"/>
        <rFont val="Arial"/>
        <charset val="134"/>
      </rPr>
      <t>Slave)</t>
    </r>
  </si>
  <si>
    <r>
      <rPr>
        <sz val="11"/>
        <rFont val="Arial"/>
        <charset val="134"/>
      </rPr>
      <t>I2CM_B(</t>
    </r>
    <r>
      <rPr>
        <sz val="11"/>
        <rFont val="宋体"/>
        <charset val="134"/>
      </rPr>
      <t>可配置</t>
    </r>
    <r>
      <rPr>
        <sz val="11"/>
        <rFont val="Arial"/>
        <charset val="134"/>
      </rPr>
      <t>Slave)</t>
    </r>
  </si>
  <si>
    <t>PWM   Interface</t>
  </si>
  <si>
    <t>BL PWM</t>
  </si>
  <si>
    <t>UART Location</t>
  </si>
  <si>
    <t>LED</t>
  </si>
  <si>
    <t>Dual UART</t>
  </si>
  <si>
    <t>pinmux to AO HDMI0/1 pin</t>
  </si>
  <si>
    <t xml:space="preserve">pinmux to EE pin </t>
  </si>
  <si>
    <t>PWM Location</t>
  </si>
  <si>
    <t>8 Channel PWM</t>
  </si>
  <si>
    <t xml:space="preserve">pinmux to AO pin </t>
  </si>
  <si>
    <t>SPICC  Interface</t>
  </si>
  <si>
    <t>SPI_A</t>
  </si>
  <si>
    <t>Local dimming</t>
  </si>
  <si>
    <t>SPIFC  Interface</t>
  </si>
  <si>
    <t>SPI Flash</t>
  </si>
  <si>
    <t>SAR_ADC</t>
  </si>
  <si>
    <t>CH0</t>
  </si>
  <si>
    <t>KEY0</t>
  </si>
  <si>
    <t>CH1</t>
  </si>
  <si>
    <t>KEY1</t>
  </si>
  <si>
    <t>CH2</t>
  </si>
  <si>
    <t>USB Type-C V</t>
  </si>
  <si>
    <t>CH3</t>
  </si>
  <si>
    <t>SPI</t>
  </si>
  <si>
    <t>SPI Location</t>
  </si>
  <si>
    <t>QSPI flash 100M</t>
  </si>
  <si>
    <t>4 channel SAR-ADC</t>
  </si>
  <si>
    <t>AO or EE domian?</t>
  </si>
  <si>
    <t>ANA PIN in AO</t>
  </si>
  <si>
    <t>IR RX</t>
  </si>
  <si>
    <t>IR_TOP</t>
  </si>
  <si>
    <t>1）HDMIRX DETECT检测GND，检测逻辑发生变化，原来的comb PIN无法适用，需要内部设计优化来做支持</t>
  </si>
  <si>
    <t>2）HDMIRX和DP兼容的第二个Port，DDC和AUX需要分开，还是IO兼容</t>
  </si>
  <si>
    <t>默认要做兼容，需要设计支持</t>
  </si>
  <si>
    <t xml:space="preserve">  1、同1），无外部电源下，comb PIN 5det需要能正常工作，并增加一级反向逻辑，可以选择低电平有效检测，还是高电平有效检测</t>
  </si>
  <si>
    <t xml:space="preserve">  2、HPD需要能够设置default值为0还是Hi-Z</t>
  </si>
  <si>
    <t>3）显示器不支持CEC</t>
  </si>
  <si>
    <t>4）取消Audio VREFP，增加一个IO PIN</t>
  </si>
  <si>
    <t>Analog</t>
  </si>
  <si>
    <t>5）FT测试需要，普通GPIO不够？</t>
  </si>
  <si>
    <t>可以修改scan配置</t>
  </si>
  <si>
    <t>5V耐压是否只能ODIO</t>
  </si>
  <si>
    <t>6）IR不要？商显上面还是需要；
成本优先，确定需要的面积多大</t>
  </si>
  <si>
    <t>7）待机下，EE会关闭？GPIOW需要放AO domain？floor plan要看下怎么处理</t>
  </si>
  <si>
    <t>1. 保持spifc在AO</t>
  </si>
  <si>
    <t>2. GPIOW（HDMI）放在AO</t>
  </si>
  <si>
    <t>3. 后端Floorplan实现的时候提前注意gpioW这组在top和AO pin（bottom）的位置，gpioW低速的理论上问题应该不大。</t>
  </si>
  <si>
    <t>8）I2C用最新的T6X设计，Mast和Slave都支持</t>
  </si>
  <si>
    <t>4. Pinmux table suoli再帮忙更新下 Albert LiuSuoli FengKai SunGuoping Li，我们先这么推进吧</t>
  </si>
  <si>
    <t>取消单独的Slave I2C Pinmux</t>
  </si>
  <si>
    <t>9）SPIFC需要考虑迁移到EE Domain</t>
  </si>
  <si>
    <t>腾出GPIO位置给GPIO W</t>
  </si>
  <si>
    <t>10）再确认8.32*9.6的BGA Pinout能够做到多少</t>
  </si>
  <si>
    <t>11）增加Jtag Pinmux</t>
  </si>
  <si>
    <t>e2prom HDMI 接口都要，不只是port0, soc i2c_m/s 需要pinmux到hdmirx0/1</t>
  </si>
  <si>
    <t>uart 需要pimux到hdmirx0/1</t>
  </si>
  <si>
    <r>
      <rPr>
        <sz val="12"/>
        <color rgb="FFFF0000"/>
        <rFont val="宋体"/>
        <charset val="134"/>
      </rPr>
      <t xml:space="preserve">debug i2c </t>
    </r>
    <r>
      <rPr>
        <b/>
        <sz val="12"/>
        <color rgb="FFFF0000"/>
        <rFont val="宋体"/>
        <charset val="134"/>
      </rPr>
      <t>不用体现在pinmux table上，因为RTL内部会和hmdirx i2c comb到gpioW上</t>
    </r>
  </si>
  <si>
    <t>只有AO pwm cd hiz pin？</t>
  </si>
  <si>
    <t>uart cts rts pin不用？</t>
  </si>
  <si>
    <t>CLK_32K_IN_I 还要吗</t>
  </si>
  <si>
    <t>SOC pin No.
（从PCB导入复制）</t>
  </si>
  <si>
    <t>trim
(Pin NO)</t>
  </si>
  <si>
    <t>SOC pin name</t>
  </si>
  <si>
    <t>RX1_I2C_CLK
/RX1_AUX_N</t>
  </si>
  <si>
    <t>RX1_HDMI/DP_CABLE_DET</t>
  </si>
  <si>
    <t>RX1_I2C_DATA 
/RX1_AUX_P</t>
  </si>
  <si>
    <t>RX2_AUX_N</t>
  </si>
  <si>
    <t>RX2_AUX_P</t>
  </si>
  <si>
    <t>RX2_HOTPLUG</t>
  </si>
  <si>
    <t>BCON</t>
  </si>
  <si>
    <t>RX2_DP_CABLE_DET</t>
  </si>
  <si>
    <t>RX_3V3</t>
  </si>
  <si>
    <t>长方形</t>
  </si>
  <si>
    <t>RX0_HDMI_CN</t>
  </si>
  <si>
    <t>RX0_HDMI_CP</t>
  </si>
  <si>
    <t>RX0_HDMI_0N</t>
  </si>
  <si>
    <t>DDC</t>
  </si>
  <si>
    <t>PWM IO</t>
  </si>
  <si>
    <t>LOCAL dimming</t>
  </si>
  <si>
    <t>RX0_HDMI_0P</t>
  </si>
  <si>
    <t>GND</t>
  </si>
  <si>
    <t>RX0_HDMI_1N</t>
  </si>
  <si>
    <t>RX0_HDMI_1P</t>
  </si>
  <si>
    <t>RX0_HDMI_2N</t>
  </si>
  <si>
    <t>RX0_HDMI_2P</t>
  </si>
  <si>
    <t>RX_CoreVDD</t>
  </si>
  <si>
    <t>RX1_HDMI_CN /RX1_DP_0P</t>
  </si>
  <si>
    <t>RX1_HDMI_CP /RX1_DP_0N</t>
  </si>
  <si>
    <t>RX1_HDMI_0P 
/RX1_DP_1P</t>
  </si>
  <si>
    <t>RX1_HDMI_0N 
/RX1_DP_1N</t>
  </si>
  <si>
    <t>RX1_HDMI_1N /RX1_DP_2P</t>
  </si>
  <si>
    <t>LVDS</t>
  </si>
  <si>
    <t>RX1_HDMI_1P /RX1_DP_2N</t>
  </si>
  <si>
    <t>RX1_HDMI_2N /RX1_DP_3P</t>
  </si>
  <si>
    <t>RX1_HDMI_2P /RX1_DP_3N</t>
  </si>
  <si>
    <t>EDP</t>
  </si>
  <si>
    <t>RX_DP_CoreVDD</t>
  </si>
  <si>
    <t>改DP端接</t>
  </si>
  <si>
    <t>DVI/HDMI</t>
  </si>
  <si>
    <t>RX2_DP_0P</t>
  </si>
  <si>
    <t>RX2_DP_0N</t>
  </si>
  <si>
    <t>RX2_DP_1P</t>
  </si>
  <si>
    <t>RX2_DP_1N</t>
  </si>
  <si>
    <t>RX2_DP_2P</t>
  </si>
  <si>
    <t>RX2_DP_2N</t>
  </si>
  <si>
    <t>RX2_DP_3P</t>
  </si>
  <si>
    <t>RX2_DP_3N</t>
  </si>
  <si>
    <t>LINEOUT_L 
/I2S_BCK</t>
  </si>
  <si>
    <t>LINEOUT_R 
/I2S_DATA</t>
  </si>
  <si>
    <t>EARPHONE_L 
/I2S_WS</t>
  </si>
  <si>
    <t>EARPHONE_R 
/I2S_MCK</t>
  </si>
  <si>
    <t>AUDIO_VMID 
/AUDIO_SPDIF</t>
  </si>
  <si>
    <t>AUDIO_AVSS</t>
  </si>
  <si>
    <t>Audio_3V3</t>
  </si>
  <si>
    <t>A-OUT</t>
  </si>
  <si>
    <t>PROG_SPI_DO</t>
  </si>
  <si>
    <t>AUDIO_VREFP</t>
  </si>
  <si>
    <t>准备删除</t>
  </si>
  <si>
    <t>PROG_SPI_DI</t>
  </si>
  <si>
    <t>MTK</t>
  </si>
  <si>
    <t>PROG_SPI_WP</t>
  </si>
  <si>
    <t>PROG_SPI_HOLD</t>
  </si>
  <si>
    <t>PROG_SPI_CLK</t>
  </si>
  <si>
    <t>PROG_SPI_CS</t>
  </si>
  <si>
    <t>XTAL</t>
  </si>
  <si>
    <t>USB</t>
  </si>
  <si>
    <t>GPIO_PWM_AO_A</t>
  </si>
  <si>
    <t>GPIO_PWM_AO_B</t>
  </si>
  <si>
    <t>GPIO_PWM_AO_C</t>
  </si>
  <si>
    <t>GPIO_PWM_AO_D</t>
  </si>
  <si>
    <t>GPIO_PWM0</t>
  </si>
  <si>
    <t>GPIO</t>
  </si>
  <si>
    <t>GPIO_PWM1</t>
  </si>
  <si>
    <t>GPIO_PWM2</t>
  </si>
  <si>
    <t>UART0_TX</t>
  </si>
  <si>
    <t>GPIO_PWM3</t>
  </si>
  <si>
    <t>UART0_RX</t>
  </si>
  <si>
    <t>SAR_ADC0</t>
  </si>
  <si>
    <t>I2C_DBG_SCL</t>
  </si>
  <si>
    <t>SAR_ADC1</t>
  </si>
  <si>
    <t>I2C_DBG_SDA</t>
  </si>
  <si>
    <t>SAR_ADC2</t>
  </si>
  <si>
    <t>SAR_ADC3</t>
  </si>
  <si>
    <t>AON_CoreVDD</t>
  </si>
  <si>
    <t>AON_3V3</t>
  </si>
  <si>
    <t>XTAL_OUT</t>
  </si>
  <si>
    <t>RSTN</t>
  </si>
  <si>
    <t>XTAL_IN</t>
  </si>
  <si>
    <t>TEST0</t>
  </si>
  <si>
    <t>USB0_DM</t>
  </si>
  <si>
    <t>不用放AO domain</t>
  </si>
  <si>
    <t>USB0_DP</t>
  </si>
  <si>
    <t>EDP_AUXP</t>
  </si>
  <si>
    <t>EDP_AUXN</t>
  </si>
  <si>
    <t>LVDSA_0P 
/EDP_0P</t>
  </si>
  <si>
    <t>LVDSA_0N 
/EDP_0N</t>
  </si>
  <si>
    <t>LVDS_CoreVDD</t>
  </si>
  <si>
    <t>LVDSA_1P 
/EDP_1P</t>
  </si>
  <si>
    <t>LVDSA_1N 
/EDP_1N</t>
  </si>
  <si>
    <t>LVDSA_2P 
/EDP_2P</t>
  </si>
  <si>
    <t>LVDSA_2N 
/EDP_2N</t>
  </si>
  <si>
    <t>LVDS_3V3</t>
  </si>
  <si>
    <t>LVDSA_3P 
/EDP_3P</t>
  </si>
  <si>
    <t>LVDSA_3N 
/EDP_3N</t>
  </si>
  <si>
    <t>LVDSA_CLKP</t>
  </si>
  <si>
    <t>LVDSA_CLKN</t>
  </si>
  <si>
    <t>LVDSB_0P</t>
  </si>
  <si>
    <t>LVDSB_0N</t>
  </si>
  <si>
    <t>LVDSB_1P</t>
  </si>
  <si>
    <t>LVDSB_1N</t>
  </si>
  <si>
    <t>LVDSB_2P</t>
  </si>
  <si>
    <t>LVDSB_2N</t>
  </si>
  <si>
    <t>LVDSB_3P</t>
  </si>
  <si>
    <t>LVDSB_3N</t>
  </si>
  <si>
    <t>LVDSC_0P</t>
  </si>
  <si>
    <t>LVDSC_0N</t>
  </si>
  <si>
    <t>LVDSC_1P</t>
  </si>
  <si>
    <t>LVDSC_1N</t>
  </si>
  <si>
    <t>LVDSC_2P</t>
  </si>
  <si>
    <t>LVDSC_2N</t>
  </si>
  <si>
    <t>LVDSC_3P</t>
  </si>
  <si>
    <t>LVDSC_3N</t>
  </si>
  <si>
    <t>LVDSC_CLKP</t>
  </si>
  <si>
    <t>LVDSC_CLKN</t>
  </si>
  <si>
    <t>LVDSD_0P</t>
  </si>
  <si>
    <t>LVDSD_0N</t>
  </si>
  <si>
    <t>LVDSD_1P</t>
  </si>
  <si>
    <t>LVDSD_1N</t>
  </si>
  <si>
    <t>LVDSD_2P</t>
  </si>
  <si>
    <t>LVDSD_2N</t>
  </si>
  <si>
    <t>LVDSD_3P</t>
  </si>
  <si>
    <t>LVDSD_3N</t>
  </si>
  <si>
    <t>BCON[0]</t>
  </si>
  <si>
    <t>BCON[1]</t>
  </si>
  <si>
    <t>BCON[2]</t>
  </si>
  <si>
    <t>BCON[3]</t>
  </si>
  <si>
    <t>BCON[4]</t>
  </si>
  <si>
    <t>BCON[5]</t>
  </si>
  <si>
    <t>BCON[6]</t>
  </si>
  <si>
    <t>BCON[7]</t>
  </si>
  <si>
    <t>BL_SPI_CLK/BCON[8]/PWM4</t>
  </si>
  <si>
    <t>BL_SPI_DO/BCON[9]/PWM5</t>
  </si>
  <si>
    <t>BL_SPI_DI/BCON[10]/PWM6</t>
  </si>
  <si>
    <t>BL_SPI_CS/BCON[11]/PWM7</t>
  </si>
  <si>
    <t>EE_CoreVDD</t>
  </si>
  <si>
    <t>GPIO_PWM4</t>
  </si>
  <si>
    <t>GPIO_PWM5</t>
  </si>
  <si>
    <t>GPIO_PWM6</t>
  </si>
  <si>
    <t>GPIO_PWM7</t>
  </si>
  <si>
    <t>EE_3V3</t>
  </si>
  <si>
    <t>I2C_M0_SCL 
/I2C_S0_SCL</t>
  </si>
  <si>
    <t>I2C_M0_SDA 
I2C_S0_SDA</t>
  </si>
  <si>
    <t>I2C_M1_SCL</t>
  </si>
  <si>
    <t>I2C_M1_SDA</t>
  </si>
  <si>
    <t>UART1_RX</t>
  </si>
  <si>
    <t>UART1_TX</t>
  </si>
  <si>
    <t>EE_GPIO</t>
  </si>
  <si>
    <t>RX0_I2C_CLK 
/UART0_TX/VGA_SCL</t>
  </si>
  <si>
    <t>RX0_I2C_DATA 
/UART0_RX/VGA_SDA</t>
  </si>
  <si>
    <t>RX0_HOTPLUG</t>
  </si>
  <si>
    <t>RX0_HDMI_CABLE_DET</t>
  </si>
  <si>
    <t>RX1_HOTPLUG</t>
  </si>
  <si>
    <t>aml_od5v_gpio33_h/_v类型，od_mode=0的gpio mode支持5V input tolerance，其他行为和aml_gpio33_h/_v一样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</si>
</sst>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3">
    <font>
      <sz val="12"/>
      <name val="宋体"/>
      <charset val="134"/>
    </font>
    <font>
      <sz val="12"/>
      <name val="宋体"/>
      <charset val="134"/>
      <scheme val="minor"/>
    </font>
    <font>
      <sz val="11"/>
      <color rgb="FF000000"/>
      <name val="Arial"/>
      <charset val="134"/>
    </font>
    <font>
      <sz val="11"/>
      <color rgb="FF000000"/>
      <name val="Arial"/>
      <charset val="1"/>
    </font>
    <font>
      <sz val="11"/>
      <color rgb="FFFF0000"/>
      <name val="Arial"/>
      <charset val="134"/>
    </font>
    <font>
      <sz val="11"/>
      <name val="Arial"/>
      <charset val="134"/>
    </font>
    <font>
      <sz val="11"/>
      <name val="宋体"/>
      <charset val="134"/>
      <scheme val="minor"/>
    </font>
    <font>
      <sz val="11"/>
      <color theme="1"/>
      <name val="Arial"/>
      <charset val="134"/>
    </font>
    <font>
      <sz val="11"/>
      <color rgb="FF00B050"/>
      <name val="Arial"/>
      <charset val="134"/>
    </font>
    <font>
      <sz val="11"/>
      <color rgb="FF000000"/>
      <name val="Calibri"/>
      <charset val="1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20"/>
      <color rgb="FF000000"/>
      <name val="宋体"/>
      <charset val="134"/>
    </font>
    <font>
      <b/>
      <sz val="24"/>
      <color rgb="FF000000"/>
      <name val="宋体"/>
      <charset val="134"/>
    </font>
    <font>
      <sz val="28"/>
      <color theme="1"/>
      <name val="宋体"/>
      <charset val="134"/>
      <scheme val="minor"/>
    </font>
    <font>
      <sz val="12"/>
      <color rgb="FFFF0000"/>
      <name val="宋体"/>
      <charset val="134"/>
    </font>
    <font>
      <sz val="12"/>
      <name val="Arial"/>
      <charset val="134"/>
    </font>
    <font>
      <b/>
      <sz val="11"/>
      <name val="Arial"/>
      <charset val="134"/>
    </font>
    <font>
      <sz val="11"/>
      <color rgb="FFFF0000"/>
      <name val="Calibri"/>
      <charset val="134"/>
    </font>
    <font>
      <sz val="11"/>
      <name val="宋体"/>
      <charset val="134"/>
    </font>
    <font>
      <b/>
      <sz val="12"/>
      <color theme="8"/>
      <name val="宋体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1"/>
      <color rgb="FF000000"/>
      <name val="Calibri"/>
      <charset val="134"/>
    </font>
    <font>
      <sz val="12"/>
      <color rgb="FFFF0000"/>
      <name val="Calibri"/>
      <charset val="134"/>
    </font>
    <font>
      <sz val="11"/>
      <color indexed="8"/>
      <name val="宋体"/>
      <charset val="134"/>
      <scheme val="minor"/>
    </font>
    <font>
      <b/>
      <sz val="11"/>
      <color rgb="FF000000"/>
      <name val="Calibri"/>
      <charset val="134"/>
    </font>
    <font>
      <b/>
      <sz val="11"/>
      <color rgb="FF000000"/>
      <name val="Arial"/>
      <charset val="134"/>
    </font>
    <font>
      <sz val="10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Arial"/>
      <charset val="134"/>
    </font>
    <font>
      <sz val="12"/>
      <color rgb="FF000000"/>
      <name val="Arial"/>
      <charset val="134"/>
    </font>
    <font>
      <sz val="12"/>
      <color rgb="FFFF0000"/>
      <name val="Arial"/>
      <charset val="134"/>
    </font>
    <font>
      <sz val="10"/>
      <name val="微软雅黑"/>
      <charset val="134"/>
    </font>
    <font>
      <strike/>
      <sz val="12"/>
      <name val="宋体"/>
      <charset val="134"/>
    </font>
    <font>
      <sz val="10"/>
      <color rgb="FF000000"/>
      <name val="Arial"/>
      <charset val="134"/>
    </font>
    <font>
      <strike/>
      <sz val="11"/>
      <color rgb="FF000000"/>
      <name val="Calibri"/>
      <charset val="1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"/>
    </font>
    <font>
      <b/>
      <sz val="12"/>
      <color rgb="FFFF0000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2747BE"/>
      </left>
      <right style="medium">
        <color rgb="FF2747BE"/>
      </right>
      <top style="medium">
        <color rgb="FF2747BE"/>
      </top>
      <bottom style="thin">
        <color auto="1"/>
      </bottom>
      <diagonal/>
    </border>
    <border>
      <left style="medium">
        <color rgb="FF2747BE"/>
      </left>
      <right style="medium">
        <color rgb="FF2747BE"/>
      </right>
      <top style="thin">
        <color auto="1"/>
      </top>
      <bottom style="medium">
        <color rgb="FF2747BE"/>
      </bottom>
      <diagonal/>
    </border>
    <border>
      <left style="medium">
        <color rgb="FFFF0000"/>
      </left>
      <right style="medium">
        <color rgb="FFFF0000"/>
      </right>
      <top/>
      <bottom style="thin">
        <color auto="1"/>
      </bottom>
      <diagonal/>
    </border>
    <border>
      <left style="medium">
        <color rgb="FF2747BE"/>
      </left>
      <right style="thin">
        <color auto="1"/>
      </right>
      <top style="medium">
        <color rgb="FF2747BE"/>
      </top>
      <bottom style="medium">
        <color rgb="FF2747BE"/>
      </bottom>
      <diagonal/>
    </border>
    <border>
      <left style="thin">
        <color auto="1"/>
      </left>
      <right style="thin">
        <color auto="1"/>
      </right>
      <top style="medium">
        <color rgb="FF2747BE"/>
      </top>
      <bottom style="medium">
        <color rgb="FF2747BE"/>
      </bottom>
      <diagonal/>
    </border>
    <border>
      <left style="thin">
        <color auto="1"/>
      </left>
      <right style="medium">
        <color rgb="FF2747BE"/>
      </right>
      <top style="medium">
        <color rgb="FF2747BE"/>
      </top>
      <bottom style="medium">
        <color rgb="FF2747BE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" fillId="17" borderId="61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7" fillId="0" borderId="6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8" borderId="64" applyNumberFormat="0" applyAlignment="0" applyProtection="0">
      <alignment vertical="center"/>
    </xf>
    <xf numFmtId="0" fontId="49" fillId="19" borderId="65" applyNumberFormat="0" applyAlignment="0" applyProtection="0">
      <alignment vertical="center"/>
    </xf>
    <xf numFmtId="0" fontId="50" fillId="19" borderId="64" applyNumberFormat="0" applyAlignment="0" applyProtection="0">
      <alignment vertical="center"/>
    </xf>
    <xf numFmtId="0" fontId="51" fillId="20" borderId="66" applyNumberFormat="0" applyAlignment="0" applyProtection="0">
      <alignment vertical="center"/>
    </xf>
    <xf numFmtId="0" fontId="52" fillId="0" borderId="67" applyNumberFormat="0" applyFill="0" applyAlignment="0" applyProtection="0">
      <alignment vertical="center"/>
    </xf>
    <xf numFmtId="0" fontId="53" fillId="0" borderId="68" applyNumberFormat="0" applyFill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</cellStyleXfs>
  <cellXfs count="3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4" fillId="0" borderId="1" xfId="0" applyFont="1" applyBorder="1" applyAlignment="1"/>
    <xf numFmtId="0" fontId="2" fillId="0" borderId="4" xfId="0" applyFont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7" fillId="3" borderId="1" xfId="0" applyFont="1" applyFill="1" applyBorder="1" applyAlignment="1"/>
    <xf numFmtId="0" fontId="3" fillId="4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6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9" fillId="4" borderId="1" xfId="0" applyFont="1" applyFill="1" applyBorder="1">
      <alignment vertical="center"/>
    </xf>
    <xf numFmtId="0" fontId="9" fillId="7" borderId="1" xfId="0" applyFont="1" applyFill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8" borderId="0" xfId="0" applyFont="1" applyFill="1">
      <alignment vertical="center"/>
    </xf>
    <xf numFmtId="0" fontId="12" fillId="0" borderId="0" xfId="0" applyFont="1" applyAlignment="1">
      <alignment horizontal="right" vertical="center" wrapText="1"/>
    </xf>
    <xf numFmtId="0" fontId="0" fillId="8" borderId="0" xfId="0" applyFill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0" fillId="0" borderId="5" xfId="0" applyFont="1" applyBorder="1" applyAlignment="1">
      <alignment horizontal="center" textRotation="90"/>
    </xf>
    <xf numFmtId="0" fontId="10" fillId="0" borderId="6" xfId="0" applyFont="1" applyBorder="1" applyAlignment="1">
      <alignment horizontal="center" textRotation="90"/>
    </xf>
    <xf numFmtId="0" fontId="10" fillId="0" borderId="7" xfId="0" applyFont="1" applyBorder="1" applyAlignment="1">
      <alignment horizontal="center" textRotation="90"/>
    </xf>
    <xf numFmtId="0" fontId="10" fillId="0" borderId="8" xfId="0" applyFont="1" applyBorder="1" applyAlignment="1">
      <alignment horizontal="center" textRotation="90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right" vertical="center"/>
    </xf>
    <xf numFmtId="0" fontId="10" fillId="0" borderId="11" xfId="0" applyFont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0" borderId="12" xfId="0" applyFont="1" applyBorder="1" applyAlignment="1">
      <alignment horizontal="right" vertical="center"/>
    </xf>
    <xf numFmtId="0" fontId="14" fillId="9" borderId="0" xfId="0" applyFont="1" applyFill="1" applyAlignment="1">
      <alignment horizontal="center" vertical="center"/>
    </xf>
    <xf numFmtId="0" fontId="10" fillId="0" borderId="13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0" fontId="15" fillId="9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right" vertical="center"/>
    </xf>
    <xf numFmtId="0" fontId="10" fillId="0" borderId="17" xfId="0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12" fillId="9" borderId="0" xfId="0" applyFont="1" applyFill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top" textRotation="180"/>
    </xf>
    <xf numFmtId="0" fontId="10" fillId="0" borderId="19" xfId="0" applyFont="1" applyBorder="1" applyAlignment="1">
      <alignment horizontal="center" vertical="top" textRotation="180"/>
    </xf>
    <xf numFmtId="0" fontId="10" fillId="0" borderId="20" xfId="0" applyFont="1" applyBorder="1" applyAlignment="1">
      <alignment horizontal="center" vertical="top" textRotation="180"/>
    </xf>
    <xf numFmtId="0" fontId="10" fillId="0" borderId="21" xfId="0" applyFont="1" applyBorder="1" applyAlignment="1">
      <alignment horizontal="center" vertical="top" textRotation="180"/>
    </xf>
    <xf numFmtId="0" fontId="10" fillId="0" borderId="22" xfId="0" applyFont="1" applyBorder="1" applyAlignment="1">
      <alignment horizontal="right" vertical="center"/>
    </xf>
    <xf numFmtId="0" fontId="10" fillId="0" borderId="11" xfId="0" applyFont="1" applyBorder="1" applyAlignment="1">
      <alignment horizontal="center" textRotation="90"/>
    </xf>
    <xf numFmtId="0" fontId="10" fillId="9" borderId="0" xfId="0" applyFont="1" applyFill="1">
      <alignment vertical="center"/>
    </xf>
    <xf numFmtId="0" fontId="10" fillId="0" borderId="23" xfId="0" applyFont="1" applyBorder="1" applyAlignment="1">
      <alignment horizontal="center" vertical="top" textRotation="180"/>
    </xf>
    <xf numFmtId="0" fontId="10" fillId="0" borderId="24" xfId="0" applyFont="1" applyBorder="1" applyAlignment="1">
      <alignment horizontal="center" vertical="top" textRotation="180"/>
    </xf>
    <xf numFmtId="0" fontId="10" fillId="0" borderId="8" xfId="0" applyFont="1" applyBorder="1" applyAlignment="1">
      <alignment horizontal="center" vertical="top" textRotation="180"/>
    </xf>
    <xf numFmtId="0" fontId="10" fillId="0" borderId="11" xfId="0" applyFont="1" applyBorder="1" applyAlignment="1">
      <alignment horizontal="center" vertical="top" textRotation="180"/>
    </xf>
    <xf numFmtId="0" fontId="10" fillId="0" borderId="24" xfId="0" applyFont="1" applyBorder="1" applyAlignment="1">
      <alignment horizontal="center" textRotation="90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5" fillId="9" borderId="0" xfId="0" applyFont="1" applyFill="1">
      <alignment vertical="center"/>
    </xf>
    <xf numFmtId="0" fontId="10" fillId="0" borderId="7" xfId="0" applyFont="1" applyBorder="1" applyAlignment="1">
      <alignment horizontal="center" vertical="top" textRotation="180"/>
    </xf>
    <xf numFmtId="0" fontId="10" fillId="0" borderId="25" xfId="0" applyFont="1" applyBorder="1" applyAlignment="1">
      <alignment horizontal="center" vertical="top" textRotation="180"/>
    </xf>
    <xf numFmtId="0" fontId="10" fillId="0" borderId="26" xfId="0" applyFont="1" applyBorder="1" applyAlignment="1">
      <alignment horizontal="center" vertical="top" textRotation="180"/>
    </xf>
    <xf numFmtId="0" fontId="10" fillId="0" borderId="27" xfId="0" applyFont="1" applyBorder="1" applyAlignment="1">
      <alignment horizontal="center" vertical="top" textRotation="180"/>
    </xf>
    <xf numFmtId="0" fontId="10" fillId="0" borderId="28" xfId="0" applyFont="1" applyBorder="1" applyAlignment="1">
      <alignment horizontal="center" vertical="top" textRotation="180"/>
    </xf>
    <xf numFmtId="0" fontId="10" fillId="0" borderId="14" xfId="0" applyFont="1" applyBorder="1" applyAlignment="1">
      <alignment horizontal="center" textRotation="90"/>
    </xf>
    <xf numFmtId="0" fontId="16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29" xfId="0" applyFont="1" applyBorder="1" applyAlignment="1">
      <alignment horizontal="center" vertical="top" textRotation="180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14" fontId="0" fillId="0" borderId="0" xfId="0" applyNumberFormat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1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8" fillId="10" borderId="3" xfId="0" applyFont="1" applyFill="1" applyBorder="1">
      <alignment vertical="center"/>
    </xf>
    <xf numFmtId="0" fontId="5" fillId="10" borderId="4" xfId="0" applyFont="1" applyFill="1" applyBorder="1" applyAlignment="1"/>
    <xf numFmtId="0" fontId="18" fillId="10" borderId="3" xfId="0" applyFont="1" applyFill="1" applyBorder="1" applyAlignment="1">
      <alignment horizontal="center" vertical="center"/>
    </xf>
    <xf numFmtId="0" fontId="5" fillId="10" borderId="1" xfId="0" applyFont="1" applyFill="1" applyBorder="1" applyAlignment="1"/>
    <xf numFmtId="0" fontId="18" fillId="10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left" vertical="center"/>
    </xf>
    <xf numFmtId="0" fontId="4" fillId="10" borderId="1" xfId="0" applyFont="1" applyFill="1" applyBorder="1" applyAlignment="1"/>
    <xf numFmtId="0" fontId="5" fillId="11" borderId="1" xfId="0" applyFont="1" applyFill="1" applyBorder="1" applyAlignment="1"/>
    <xf numFmtId="0" fontId="5" fillId="10" borderId="2" xfId="0" applyFont="1" applyFill="1" applyBorder="1" applyAlignment="1"/>
    <xf numFmtId="0" fontId="5" fillId="11" borderId="2" xfId="0" applyFont="1" applyFill="1" applyBorder="1" applyAlignment="1"/>
    <xf numFmtId="0" fontId="18" fillId="10" borderId="5" xfId="0" applyFont="1" applyFill="1" applyBorder="1" applyAlignment="1">
      <alignment vertical="center" wrapText="1"/>
    </xf>
    <xf numFmtId="0" fontId="5" fillId="10" borderId="5" xfId="0" applyFont="1" applyFill="1" applyBorder="1" applyAlignment="1"/>
    <xf numFmtId="0" fontId="18" fillId="10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8" fillId="10" borderId="14" xfId="0" applyFont="1" applyFill="1" applyBorder="1" applyAlignment="1">
      <alignment horizontal="left" vertical="center" wrapText="1"/>
    </xf>
    <xf numFmtId="0" fontId="17" fillId="0" borderId="5" xfId="0" applyFont="1" applyBorder="1">
      <alignment vertical="center"/>
    </xf>
    <xf numFmtId="0" fontId="18" fillId="10" borderId="15" xfId="0" applyFont="1" applyFill="1" applyBorder="1" applyAlignment="1">
      <alignment horizontal="left" vertical="center" wrapText="1"/>
    </xf>
    <xf numFmtId="0" fontId="5" fillId="11" borderId="5" xfId="0" applyFont="1" applyFill="1" applyBorder="1" applyAlignment="1"/>
    <xf numFmtId="0" fontId="17" fillId="0" borderId="0" xfId="0" applyFont="1">
      <alignment vertical="center"/>
    </xf>
    <xf numFmtId="0" fontId="18" fillId="10" borderId="30" xfId="0" applyFont="1" applyFill="1" applyBorder="1" applyAlignment="1">
      <alignment horizontal="left" vertical="center" wrapText="1"/>
    </xf>
    <xf numFmtId="0" fontId="19" fillId="10" borderId="31" xfId="0" applyFont="1" applyFill="1" applyBorder="1" applyAlignment="1"/>
    <xf numFmtId="0" fontId="18" fillId="10" borderId="31" xfId="0" applyFont="1" applyFill="1" applyBorder="1" applyAlignment="1">
      <alignment horizontal="center" vertical="center" wrapText="1"/>
    </xf>
    <xf numFmtId="0" fontId="5" fillId="11" borderId="31" xfId="0" applyFont="1" applyFill="1" applyBorder="1" applyAlignment="1"/>
    <xf numFmtId="0" fontId="20" fillId="10" borderId="1" xfId="0" applyFont="1" applyFill="1" applyBorder="1" applyAlignment="1"/>
    <xf numFmtId="0" fontId="21" fillId="10" borderId="1" xfId="0" applyFont="1" applyFill="1" applyBorder="1" applyAlignment="1"/>
    <xf numFmtId="0" fontId="5" fillId="0" borderId="1" xfId="0" applyFont="1" applyBorder="1" applyAlignment="1"/>
    <xf numFmtId="0" fontId="5" fillId="10" borderId="1" xfId="0" applyFont="1" applyFill="1" applyBorder="1">
      <alignment vertical="center"/>
    </xf>
    <xf numFmtId="0" fontId="18" fillId="10" borderId="5" xfId="0" applyFont="1" applyFill="1" applyBorder="1" applyAlignment="1">
      <alignment horizontal="center" vertical="center"/>
    </xf>
    <xf numFmtId="0" fontId="18" fillId="10" borderId="5" xfId="0" applyFont="1" applyFill="1" applyBorder="1" applyAlignment="1"/>
    <xf numFmtId="0" fontId="22" fillId="12" borderId="1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4" xfId="0" applyFont="1" applyFill="1" applyBorder="1">
      <alignment vertical="center"/>
    </xf>
    <xf numFmtId="0" fontId="24" fillId="0" borderId="1" xfId="0" applyFont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 wrapText="1"/>
    </xf>
    <xf numFmtId="0" fontId="24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/>
    </xf>
    <xf numFmtId="0" fontId="25" fillId="10" borderId="32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28" fillId="0" borderId="1" xfId="0" applyFont="1" applyBorder="1">
      <alignment vertical="center"/>
    </xf>
    <xf numFmtId="0" fontId="29" fillId="0" borderId="1" xfId="0" applyFont="1" applyBorder="1" applyAlignment="1">
      <alignment vertical="center" wrapText="1"/>
    </xf>
    <xf numFmtId="0" fontId="29" fillId="13" borderId="1" xfId="0" applyFont="1" applyFill="1" applyBorder="1">
      <alignment vertical="center"/>
    </xf>
    <xf numFmtId="0" fontId="29" fillId="0" borderId="33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3" borderId="34" xfId="0" applyFont="1" applyFill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30" fillId="0" borderId="2" xfId="0" applyFont="1" applyBorder="1" applyAlignment="1">
      <alignment vertical="center"/>
    </xf>
    <xf numFmtId="0" fontId="4" fillId="0" borderId="35" xfId="0" applyFont="1" applyBorder="1" applyAlignment="1">
      <alignment vertical="center" wrapText="1"/>
    </xf>
    <xf numFmtId="0" fontId="4" fillId="3" borderId="35" xfId="0" applyFont="1" applyFill="1" applyBorder="1" applyAlignment="1">
      <alignment vertical="center" wrapText="1"/>
    </xf>
    <xf numFmtId="0" fontId="30" fillId="0" borderId="4" xfId="0" applyFont="1" applyBorder="1" applyAlignment="1">
      <alignment vertical="center"/>
    </xf>
    <xf numFmtId="0" fontId="2" fillId="3" borderId="35" xfId="0" applyFont="1" applyFill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32" fillId="0" borderId="33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25" fillId="0" borderId="1" xfId="0" applyFont="1" applyBorder="1">
      <alignment vertical="center"/>
    </xf>
    <xf numFmtId="0" fontId="2" fillId="13" borderId="1" xfId="0" applyFont="1" applyFill="1" applyBorder="1" applyAlignment="1">
      <alignment vertical="center" wrapText="1"/>
    </xf>
    <xf numFmtId="0" fontId="8" fillId="6" borderId="34" xfId="0" applyFont="1" applyFill="1" applyBorder="1" applyAlignment="1">
      <alignment vertical="center" wrapText="1"/>
    </xf>
    <xf numFmtId="0" fontId="33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4" fillId="3" borderId="32" xfId="0" applyFont="1" applyFill="1" applyBorder="1">
      <alignment vertical="center"/>
    </xf>
    <xf numFmtId="0" fontId="4" fillId="3" borderId="35" xfId="0" applyFont="1" applyFill="1" applyBorder="1">
      <alignment vertical="center"/>
    </xf>
    <xf numFmtId="0" fontId="2" fillId="13" borderId="2" xfId="0" applyFont="1" applyFill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0" borderId="32" xfId="0" applyFont="1" applyBorder="1">
      <alignment vertical="center"/>
    </xf>
    <xf numFmtId="0" fontId="4" fillId="3" borderId="4" xfId="0" applyFont="1" applyFill="1" applyBorder="1" applyAlignment="1">
      <alignment vertical="center" wrapText="1"/>
    </xf>
    <xf numFmtId="0" fontId="2" fillId="0" borderId="35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34" fillId="0" borderId="1" xfId="0" applyFont="1" applyBorder="1">
      <alignment vertical="center"/>
    </xf>
    <xf numFmtId="0" fontId="34" fillId="0" borderId="1" xfId="0" applyFont="1" applyBorder="1" applyAlignment="1">
      <alignment vertical="center" wrapText="1"/>
    </xf>
    <xf numFmtId="0" fontId="8" fillId="0" borderId="37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33" fillId="0" borderId="3" xfId="0" applyFont="1" applyBorder="1" applyAlignment="1">
      <alignment vertical="center" wrapText="1"/>
    </xf>
    <xf numFmtId="0" fontId="33" fillId="0" borderId="4" xfId="0" applyFont="1" applyBorder="1" applyAlignment="1">
      <alignment vertical="center" wrapText="1"/>
    </xf>
    <xf numFmtId="0" fontId="2" fillId="0" borderId="37" xfId="0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7" fillId="0" borderId="0" xfId="0" applyFont="1" applyAlignment="1"/>
    <xf numFmtId="49" fontId="35" fillId="0" borderId="0" xfId="0" applyNumberFormat="1" applyFont="1">
      <alignment vertical="center"/>
    </xf>
    <xf numFmtId="0" fontId="27" fillId="0" borderId="0" xfId="0" applyFont="1" applyAlignment="1">
      <alignment wrapText="1"/>
    </xf>
    <xf numFmtId="0" fontId="36" fillId="0" borderId="0" xfId="0" applyFont="1">
      <alignment vertical="center"/>
    </xf>
    <xf numFmtId="0" fontId="3" fillId="15" borderId="40" xfId="0" applyFont="1" applyFill="1" applyBorder="1" applyAlignment="1">
      <alignment horizontal="center" vertical="center"/>
    </xf>
    <xf numFmtId="0" fontId="2" fillId="15" borderId="2" xfId="0" applyFont="1" applyFill="1" applyBorder="1">
      <alignment vertical="center"/>
    </xf>
    <xf numFmtId="0" fontId="2" fillId="15" borderId="2" xfId="0" applyFont="1" applyFill="1" applyBorder="1" applyAlignment="1">
      <alignment horizontal="center" vertical="center"/>
    </xf>
    <xf numFmtId="0" fontId="37" fillId="15" borderId="2" xfId="0" applyFont="1" applyFill="1" applyBorder="1">
      <alignment vertical="center"/>
    </xf>
    <xf numFmtId="0" fontId="7" fillId="15" borderId="2" xfId="0" applyFont="1" applyFill="1" applyBorder="1">
      <alignment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/>
    <xf numFmtId="0" fontId="4" fillId="3" borderId="42" xfId="0" applyFont="1" applyFill="1" applyBorder="1" applyAlignment="1">
      <alignment vertical="center" wrapText="1"/>
    </xf>
    <xf numFmtId="0" fontId="2" fillId="0" borderId="42" xfId="0" applyFont="1" applyBorder="1">
      <alignment vertical="center"/>
    </xf>
    <xf numFmtId="0" fontId="2" fillId="3" borderId="43" xfId="0" applyFont="1" applyFill="1" applyBorder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37" xfId="0" applyFont="1" applyBorder="1">
      <alignment vertical="center"/>
    </xf>
    <xf numFmtId="0" fontId="2" fillId="0" borderId="2" xfId="0" applyFont="1" applyBorder="1" applyAlignment="1"/>
    <xf numFmtId="0" fontId="2" fillId="3" borderId="2" xfId="0" applyFont="1" applyFill="1" applyBorder="1">
      <alignment vertical="center"/>
    </xf>
    <xf numFmtId="0" fontId="4" fillId="0" borderId="2" xfId="0" applyFont="1" applyBorder="1" applyAlignment="1"/>
    <xf numFmtId="0" fontId="2" fillId="0" borderId="2" xfId="0" applyFont="1" applyBorder="1">
      <alignment vertical="center"/>
    </xf>
    <xf numFmtId="0" fontId="2" fillId="0" borderId="38" xfId="0" applyFont="1" applyBorder="1">
      <alignment vertical="center"/>
    </xf>
    <xf numFmtId="0" fontId="2" fillId="0" borderId="33" xfId="0" applyFont="1" applyBorder="1" applyAlignment="1"/>
    <xf numFmtId="0" fontId="2" fillId="0" borderId="45" xfId="0" applyFont="1" applyBorder="1" applyAlignment="1">
      <alignment horizontal="center" vertical="center"/>
    </xf>
    <xf numFmtId="0" fontId="2" fillId="3" borderId="3" xfId="0" applyFont="1" applyFill="1" applyBorder="1">
      <alignment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>
      <alignment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>
      <alignment vertical="center"/>
    </xf>
    <xf numFmtId="0" fontId="2" fillId="0" borderId="50" xfId="0" applyFont="1" applyBorder="1">
      <alignment vertical="center"/>
    </xf>
    <xf numFmtId="0" fontId="2" fillId="0" borderId="4" xfId="0" applyFont="1" applyBorder="1">
      <alignment vertical="center"/>
    </xf>
    <xf numFmtId="0" fontId="2" fillId="4" borderId="4" xfId="0" applyFont="1" applyFill="1" applyBorder="1">
      <alignment vertical="center"/>
    </xf>
    <xf numFmtId="0" fontId="2" fillId="13" borderId="4" xfId="0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0" fillId="13" borderId="2" xfId="0" applyFill="1" applyBorder="1">
      <alignment vertical="center"/>
    </xf>
    <xf numFmtId="0" fontId="2" fillId="0" borderId="47" xfId="0" applyFont="1" applyBorder="1" applyAlignment="1">
      <alignment horizontal="center" vertical="center"/>
    </xf>
    <xf numFmtId="0" fontId="3" fillId="3" borderId="42" xfId="0" applyFont="1" applyFill="1" applyBorder="1">
      <alignment vertical="center"/>
    </xf>
    <xf numFmtId="0" fontId="7" fillId="3" borderId="42" xfId="0" applyFont="1" applyFill="1" applyBorder="1" applyAlignment="1"/>
    <xf numFmtId="0" fontId="2" fillId="0" borderId="5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/>
    <xf numFmtId="0" fontId="0" fillId="0" borderId="50" xfId="0" applyBorder="1">
      <alignment vertical="center"/>
    </xf>
    <xf numFmtId="0" fontId="2" fillId="3" borderId="47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0" fillId="0" borderId="42" xfId="0" applyBorder="1">
      <alignment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9" fillId="15" borderId="38" xfId="0" applyFont="1" applyFill="1" applyBorder="1" applyAlignment="1">
      <alignment horizontal="center" vertical="center"/>
    </xf>
    <xf numFmtId="0" fontId="5" fillId="0" borderId="42" xfId="0" applyFont="1" applyBorder="1">
      <alignment vertical="center"/>
    </xf>
    <xf numFmtId="0" fontId="5" fillId="0" borderId="42" xfId="0" applyFont="1" applyBorder="1" applyAlignment="1">
      <alignment horizontal="left" vertical="center"/>
    </xf>
    <xf numFmtId="0" fontId="8" fillId="0" borderId="52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37" xfId="0" applyFont="1" applyBorder="1">
      <alignment vertical="center"/>
    </xf>
    <xf numFmtId="0" fontId="5" fillId="16" borderId="1" xfId="0" applyFont="1" applyFill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8" fillId="0" borderId="2" xfId="0" applyFont="1" applyBorder="1">
      <alignment vertical="center"/>
    </xf>
    <xf numFmtId="0" fontId="9" fillId="0" borderId="42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4" fillId="3" borderId="4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5" borderId="35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4" fillId="3" borderId="42" xfId="0" applyFont="1" applyFill="1" applyBorder="1">
      <alignment vertical="center"/>
    </xf>
    <xf numFmtId="0" fontId="9" fillId="4" borderId="42" xfId="0" applyFont="1" applyFill="1" applyBorder="1">
      <alignment vertical="center"/>
    </xf>
    <xf numFmtId="0" fontId="8" fillId="0" borderId="42" xfId="0" applyFont="1" applyBorder="1">
      <alignment vertical="center"/>
    </xf>
    <xf numFmtId="0" fontId="4" fillId="3" borderId="50" xfId="0" applyFont="1" applyFill="1" applyBorder="1" applyAlignment="1">
      <alignment vertical="center" wrapText="1"/>
    </xf>
    <xf numFmtId="0" fontId="8" fillId="0" borderId="50" xfId="0" applyFont="1" applyBorder="1">
      <alignment vertical="center"/>
    </xf>
    <xf numFmtId="0" fontId="4" fillId="0" borderId="50" xfId="0" applyFont="1" applyBorder="1">
      <alignment vertical="center"/>
    </xf>
    <xf numFmtId="0" fontId="9" fillId="15" borderId="33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5" borderId="53" xfId="0" applyFont="1" applyFill="1" applyBorder="1" applyAlignment="1">
      <alignment horizontal="center" vertical="center"/>
    </xf>
    <xf numFmtId="49" fontId="9" fillId="0" borderId="54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0" fontId="38" fillId="0" borderId="52" xfId="0" applyFont="1" applyBorder="1" applyAlignment="1">
      <alignment horizontal="center" vertical="center"/>
    </xf>
    <xf numFmtId="49" fontId="38" fillId="0" borderId="55" xfId="0" applyNumberFormat="1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49" fontId="38" fillId="0" borderId="56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49" fontId="38" fillId="0" borderId="53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38" fillId="0" borderId="55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49" fontId="38" fillId="0" borderId="58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49" fontId="38" fillId="0" borderId="60" xfId="0" applyNumberFormat="1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49" fontId="9" fillId="0" borderId="42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9" fillId="0" borderId="5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14" fontId="39" fillId="0" borderId="0" xfId="0" applyNumberFormat="1" applyFont="1" applyAlignment="1">
      <alignment horizontal="left" vertical="center" wrapText="1"/>
    </xf>
    <xf numFmtId="0" fontId="39" fillId="0" borderId="0" xfId="0" applyFont="1">
      <alignment vertical="center"/>
    </xf>
    <xf numFmtId="0" fontId="39" fillId="3" borderId="0" xfId="0" applyFont="1" applyFill="1" applyAlignment="1">
      <alignment vertical="center" wrapText="1"/>
    </xf>
    <xf numFmtId="14" fontId="39" fillId="0" borderId="0" xfId="0" applyNumberFormat="1" applyFont="1" applyAlignment="1">
      <alignment vertical="center" wrapText="1"/>
    </xf>
    <xf numFmtId="0" fontId="2" fillId="0" borderId="42" xfId="0" applyFont="1" applyBorder="1" quotePrefix="1">
      <alignment vertical="center"/>
    </xf>
    <xf numFmtId="0" fontId="2" fillId="0" borderId="1" xfId="0" applyFont="1" applyBorder="1" quotePrefix="1">
      <alignment vertical="center"/>
    </xf>
    <xf numFmtId="0" fontId="2" fillId="0" borderId="37" xfId="0" applyFont="1" applyBorder="1" quotePrefix="1">
      <alignment vertical="center"/>
    </xf>
    <xf numFmtId="0" fontId="2" fillId="0" borderId="2" xfId="0" applyFont="1" applyBorder="1" quotePrefix="1">
      <alignment vertical="center"/>
    </xf>
    <xf numFmtId="0" fontId="2" fillId="0" borderId="38" xfId="0" applyFont="1" applyBorder="1" quotePrefix="1">
      <alignment vertical="center"/>
    </xf>
    <xf numFmtId="0" fontId="2" fillId="0" borderId="1" xfId="0" applyFont="1" applyBorder="1" applyAlignment="1" quotePrefix="1">
      <alignment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" xfId="49"/>
    <cellStyle name="Normal 6 2" xfId="50"/>
    <cellStyle name="Normal 7" xfId="51"/>
    <cellStyle name="常规 17" xfId="52"/>
    <cellStyle name="标题 1 2 7 2" xfId="53"/>
  </cellStyles>
  <dxfs count="3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98474074526"/>
        </patternFill>
      </fill>
    </dxf>
  </dxfs>
  <tableStyles count="0" defaultTableStyle="TableStyleMedium2"/>
  <colors>
    <mruColors>
      <color rgb="00FFFF00"/>
      <color rgb="0000B0F0"/>
      <color rgb="00FFFFCC"/>
      <color rgb="00FFFF99"/>
      <color rgb="00CC99FF"/>
      <color rgb="00FF00FF"/>
      <color rgb="007BE6ED"/>
      <color rgb="00D9D9D9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2038350</xdr:colOff>
      <xdr:row>0</xdr:row>
      <xdr:rowOff>0</xdr:rowOff>
    </xdr:from>
    <xdr:to>
      <xdr:col>27</xdr:col>
      <xdr:colOff>57150</xdr:colOff>
      <xdr:row>48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31075" y="0"/>
          <a:ext cx="7810500" cy="9684385"/>
        </a:xfrm>
        <a:prstGeom prst="rect">
          <a:avLst/>
        </a:prstGeom>
      </xdr:spPr>
    </xdr:pic>
    <xdr:clientData/>
  </xdr:twoCellAnchor>
  <xdr:twoCellAnchor editAs="oneCell">
    <xdr:from>
      <xdr:col>15</xdr:col>
      <xdr:colOff>2190750</xdr:colOff>
      <xdr:row>50</xdr:row>
      <xdr:rowOff>57150</xdr:rowOff>
    </xdr:from>
    <xdr:to>
      <xdr:col>28</xdr:col>
      <xdr:colOff>133350</xdr:colOff>
      <xdr:row>73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183475" y="10074910"/>
          <a:ext cx="8420100" cy="442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2037715</xdr:colOff>
      <xdr:row>6</xdr:row>
      <xdr:rowOff>1376680</xdr:rowOff>
    </xdr:from>
    <xdr:to>
      <xdr:col>10</xdr:col>
      <xdr:colOff>2541905</xdr:colOff>
      <xdr:row>7</xdr:row>
      <xdr:rowOff>0</xdr:rowOff>
    </xdr:to>
    <xdr:sp>
      <xdr:nvSpPr>
        <xdr:cNvPr id="2" name="椭圆 1"/>
        <xdr:cNvSpPr/>
      </xdr:nvSpPr>
      <xdr:spPr>
        <a:xfrm>
          <a:off x="13505815" y="3066415"/>
          <a:ext cx="504190" cy="5022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266700</xdr:colOff>
      <xdr:row>22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82100" cy="4324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18</xdr:col>
      <xdr:colOff>104775</xdr:colOff>
      <xdr:row>36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143500"/>
          <a:ext cx="12449175" cy="187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opLeftCell="A24" workbookViewId="0">
      <selection activeCell="E44" sqref="E44"/>
    </sheetView>
  </sheetViews>
  <sheetFormatPr defaultColWidth="9" defaultRowHeight="15" outlineLevelCol="4"/>
  <cols>
    <col min="1" max="1" width="6.75" style="314" customWidth="1"/>
    <col min="2" max="2" width="11.25" style="314" customWidth="1"/>
    <col min="3" max="3" width="11.75" style="314" customWidth="1"/>
    <col min="4" max="4" width="17.125" style="315" customWidth="1"/>
    <col min="5" max="5" width="44.25" style="103" customWidth="1"/>
    <col min="6" max="6" width="16.5" style="103" customWidth="1"/>
    <col min="7" max="7" width="18.125" style="103" customWidth="1"/>
    <col min="8" max="8" width="16.125" style="103" customWidth="1"/>
    <col min="9" max="9" width="16.375" style="103" customWidth="1"/>
    <col min="10" max="10" width="21.625" style="103" customWidth="1"/>
    <col min="11" max="13" width="15.75" style="103" customWidth="1"/>
    <col min="14" max="14" width="19.5" style="103" customWidth="1"/>
    <col min="15" max="16" width="15.75" style="103" customWidth="1"/>
    <col min="17" max="17" width="19.25" style="103" customWidth="1"/>
    <col min="18" max="16384" width="9" style="103"/>
  </cols>
  <sheetData>
    <row r="1" spans="1:4">
      <c r="A1" s="314" t="s">
        <v>0</v>
      </c>
      <c r="B1" s="316">
        <v>45726</v>
      </c>
      <c r="C1" s="314" t="s">
        <v>1</v>
      </c>
      <c r="D1" s="315" t="s">
        <v>2</v>
      </c>
    </row>
    <row r="2" spans="5:5">
      <c r="E2" s="107"/>
    </row>
    <row r="3" spans="1:5">
      <c r="A3" s="314" t="s">
        <v>3</v>
      </c>
      <c r="B3" s="316">
        <v>45742</v>
      </c>
      <c r="C3" s="314" t="s">
        <v>1</v>
      </c>
      <c r="D3" s="315" t="s">
        <v>4</v>
      </c>
      <c r="E3" s="103" t="s">
        <v>5</v>
      </c>
    </row>
    <row r="4" spans="5:5">
      <c r="E4" s="103" t="s">
        <v>6</v>
      </c>
    </row>
    <row r="5" spans="5:5">
      <c r="E5" s="103" t="s">
        <v>7</v>
      </c>
    </row>
    <row r="6" spans="5:5">
      <c r="E6" s="103" t="s">
        <v>8</v>
      </c>
    </row>
    <row r="7" ht="30" spans="1:4">
      <c r="A7" s="314" t="s">
        <v>3</v>
      </c>
      <c r="B7" s="316">
        <v>45744</v>
      </c>
      <c r="C7" s="314" t="s">
        <v>9</v>
      </c>
      <c r="D7" s="314" t="s">
        <v>10</v>
      </c>
    </row>
    <row r="8" spans="1:5">
      <c r="A8" s="317" t="s">
        <v>11</v>
      </c>
      <c r="B8" s="318">
        <v>45819</v>
      </c>
      <c r="C8" s="317" t="s">
        <v>1</v>
      </c>
      <c r="D8" s="319" t="s">
        <v>12</v>
      </c>
      <c r="E8" s="317" t="s">
        <v>13</v>
      </c>
    </row>
    <row r="9" spans="1:5">
      <c r="A9" s="317"/>
      <c r="B9" s="317"/>
      <c r="C9" s="317"/>
      <c r="D9" s="319"/>
      <c r="E9" s="317" t="s">
        <v>14</v>
      </c>
    </row>
    <row r="10" spans="1:5">
      <c r="A10" s="317"/>
      <c r="B10" s="317"/>
      <c r="C10" s="317"/>
      <c r="D10" s="319"/>
      <c r="E10" s="317" t="s">
        <v>15</v>
      </c>
    </row>
    <row r="11" spans="1:5">
      <c r="A11" s="317"/>
      <c r="B11" s="317"/>
      <c r="C11" s="317"/>
      <c r="D11" s="319"/>
      <c r="E11" s="317" t="s">
        <v>16</v>
      </c>
    </row>
    <row r="12" spans="1:5">
      <c r="A12" s="317"/>
      <c r="B12" s="317"/>
      <c r="C12" s="317"/>
      <c r="D12" s="319"/>
      <c r="E12" s="317" t="s">
        <v>17</v>
      </c>
    </row>
    <row r="13" spans="1:5">
      <c r="A13" s="317"/>
      <c r="B13" s="317"/>
      <c r="C13" s="317"/>
      <c r="D13" s="319"/>
      <c r="E13" s="320" t="s">
        <v>18</v>
      </c>
    </row>
    <row r="14" spans="1:5">
      <c r="A14" s="317"/>
      <c r="B14" s="317"/>
      <c r="C14" s="317"/>
      <c r="D14" s="319"/>
      <c r="E14" s="317" t="s">
        <v>19</v>
      </c>
    </row>
    <row r="15" spans="1:5">
      <c r="A15" s="317"/>
      <c r="B15" s="317"/>
      <c r="C15" s="317"/>
      <c r="D15" s="319" t="s">
        <v>20</v>
      </c>
      <c r="E15" s="317" t="s">
        <v>21</v>
      </c>
    </row>
    <row r="16" ht="30" spans="1:5">
      <c r="A16" s="317"/>
      <c r="B16" s="317"/>
      <c r="C16" s="317"/>
      <c r="D16" s="319"/>
      <c r="E16" s="317" t="s">
        <v>22</v>
      </c>
    </row>
    <row r="17" spans="1:5">
      <c r="A17" s="317"/>
      <c r="B17" s="317"/>
      <c r="C17" s="317"/>
      <c r="D17" s="319"/>
      <c r="E17" s="317" t="s">
        <v>23</v>
      </c>
    </row>
    <row r="18" spans="1:5">
      <c r="A18" s="317"/>
      <c r="B18" s="317"/>
      <c r="C18" s="317"/>
      <c r="D18" s="319" t="s">
        <v>24</v>
      </c>
      <c r="E18" s="317" t="s">
        <v>25</v>
      </c>
    </row>
    <row r="19" spans="1:5">
      <c r="A19" s="317"/>
      <c r="B19" s="317"/>
      <c r="C19" s="317"/>
      <c r="D19" s="319" t="s">
        <v>26</v>
      </c>
      <c r="E19" s="317" t="s">
        <v>27</v>
      </c>
    </row>
    <row r="20" spans="1:5">
      <c r="A20" s="317"/>
      <c r="B20" s="317"/>
      <c r="C20" s="317"/>
      <c r="D20" s="319"/>
      <c r="E20" s="317" t="s">
        <v>28</v>
      </c>
    </row>
    <row r="21" spans="1:5">
      <c r="A21" s="317"/>
      <c r="B21" s="317"/>
      <c r="C21" s="317"/>
      <c r="D21" s="319"/>
      <c r="E21" s="317" t="s">
        <v>29</v>
      </c>
    </row>
    <row r="22" spans="1:5">
      <c r="A22" s="317"/>
      <c r="B22" s="317"/>
      <c r="C22" s="317"/>
      <c r="D22" s="319"/>
      <c r="E22" s="317" t="s">
        <v>30</v>
      </c>
    </row>
    <row r="23" spans="1:5">
      <c r="A23" s="317"/>
      <c r="B23" s="317"/>
      <c r="C23" s="317"/>
      <c r="D23" s="319"/>
      <c r="E23" s="317" t="s">
        <v>31</v>
      </c>
    </row>
    <row r="24" spans="1:5">
      <c r="A24" s="317"/>
      <c r="B24" s="317"/>
      <c r="C24" s="317"/>
      <c r="D24" s="319"/>
      <c r="E24" s="317" t="s">
        <v>32</v>
      </c>
    </row>
    <row r="25" spans="1:5">
      <c r="A25" s="317"/>
      <c r="B25" s="317"/>
      <c r="C25" s="317"/>
      <c r="D25" s="319"/>
      <c r="E25" s="317" t="s">
        <v>33</v>
      </c>
    </row>
    <row r="26" spans="1:5">
      <c r="A26" s="317" t="s">
        <v>34</v>
      </c>
      <c r="B26" s="321">
        <v>45856</v>
      </c>
      <c r="C26" s="317" t="s">
        <v>1</v>
      </c>
      <c r="D26" s="319" t="s">
        <v>35</v>
      </c>
      <c r="E26" s="317" t="s">
        <v>36</v>
      </c>
    </row>
    <row r="27" ht="30" spans="1:5">
      <c r="A27" s="317"/>
      <c r="B27" s="317"/>
      <c r="C27" s="317"/>
      <c r="D27" s="319" t="s">
        <v>26</v>
      </c>
      <c r="E27" s="317" t="s">
        <v>37</v>
      </c>
    </row>
    <row r="28" spans="1:5">
      <c r="A28" s="317"/>
      <c r="B28" s="317"/>
      <c r="C28" s="317"/>
      <c r="D28" s="319"/>
      <c r="E28" s="317" t="s">
        <v>38</v>
      </c>
    </row>
    <row r="29" ht="30" spans="1:5">
      <c r="A29" s="317"/>
      <c r="B29" s="317"/>
      <c r="C29" s="317"/>
      <c r="D29" s="319"/>
      <c r="E29" s="317" t="s">
        <v>39</v>
      </c>
    </row>
    <row r="30" spans="1:5">
      <c r="A30" s="317"/>
      <c r="B30" s="317"/>
      <c r="C30" s="317"/>
      <c r="D30" s="319"/>
      <c r="E30" s="317" t="s">
        <v>40</v>
      </c>
    </row>
    <row r="31" spans="1:5">
      <c r="A31" s="317"/>
      <c r="B31" s="317"/>
      <c r="C31" s="317"/>
      <c r="D31" s="319" t="s">
        <v>20</v>
      </c>
      <c r="E31" s="317" t="s">
        <v>41</v>
      </c>
    </row>
    <row r="32" ht="30" spans="1:5">
      <c r="A32" s="317" t="s">
        <v>42</v>
      </c>
      <c r="B32" s="321">
        <v>45880</v>
      </c>
      <c r="C32" s="317" t="s">
        <v>1</v>
      </c>
      <c r="D32" s="319" t="s">
        <v>43</v>
      </c>
      <c r="E32" s="317" t="s">
        <v>44</v>
      </c>
    </row>
    <row r="33" ht="30" spans="4:5">
      <c r="D33" s="319" t="s">
        <v>26</v>
      </c>
      <c r="E33" s="317" t="s">
        <v>45</v>
      </c>
    </row>
    <row r="34" ht="60" spans="1:5">
      <c r="A34" s="317" t="s">
        <v>46</v>
      </c>
      <c r="B34" s="321">
        <v>45882</v>
      </c>
      <c r="C34" s="317" t="s">
        <v>1</v>
      </c>
      <c r="D34" s="319" t="s">
        <v>43</v>
      </c>
      <c r="E34" s="317" t="s">
        <v>47</v>
      </c>
    </row>
    <row r="35" ht="45" spans="4:5">
      <c r="D35" s="319" t="s">
        <v>48</v>
      </c>
      <c r="E35" s="317" t="s">
        <v>49</v>
      </c>
    </row>
    <row r="36" ht="30" spans="1:5">
      <c r="A36" s="317" t="s">
        <v>50</v>
      </c>
      <c r="B36" s="321">
        <v>45897</v>
      </c>
      <c r="C36" s="317" t="s">
        <v>1</v>
      </c>
      <c r="D36" s="319" t="s">
        <v>43</v>
      </c>
      <c r="E36" s="317" t="s">
        <v>51</v>
      </c>
    </row>
    <row r="37" spans="4:5">
      <c r="D37" s="319" t="s">
        <v>52</v>
      </c>
      <c r="E37" s="317" t="s">
        <v>53</v>
      </c>
    </row>
    <row r="38" spans="4:5">
      <c r="D38" s="319"/>
      <c r="E38" s="317" t="s">
        <v>54</v>
      </c>
    </row>
    <row r="39" spans="4:5">
      <c r="D39" s="319" t="s">
        <v>55</v>
      </c>
      <c r="E39" s="317" t="s">
        <v>56</v>
      </c>
    </row>
    <row r="40" spans="4:5">
      <c r="D40" s="319" t="s">
        <v>20</v>
      </c>
      <c r="E40" s="317" t="s">
        <v>57</v>
      </c>
    </row>
  </sheetData>
  <pageMargins left="0.75" right="0.75" top="1" bottom="1" header="0.509027777777778" footer="0.509027777777778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"/>
  <sheetViews>
    <sheetView tabSelected="1" zoomScale="85" zoomScaleNormal="85" workbookViewId="0">
      <pane ySplit="1" topLeftCell="A2" activePane="bottomLeft" state="frozen"/>
      <selection/>
      <selection pane="bottomLeft" activeCell="M15" sqref="M15"/>
    </sheetView>
  </sheetViews>
  <sheetFormatPr defaultColWidth="9" defaultRowHeight="15"/>
  <cols>
    <col min="1" max="1" width="10.75" customWidth="1"/>
    <col min="2" max="2" width="12" customWidth="1"/>
    <col min="3" max="3" width="5.75" customWidth="1"/>
    <col min="4" max="4" width="23" customWidth="1"/>
    <col min="5" max="5" width="9.75" customWidth="1"/>
    <col min="6" max="6" width="11.5" customWidth="1"/>
    <col min="7" max="7" width="10.5" customWidth="1"/>
    <col min="8" max="8" width="10.125" customWidth="1"/>
    <col min="9" max="9" width="21.75" customWidth="1"/>
    <col min="10" max="10" width="18" customWidth="1"/>
    <col min="11" max="11" width="19.25" customWidth="1"/>
    <col min="12" max="12" width="19.125" customWidth="1"/>
    <col min="13" max="13" width="18.125" customWidth="1"/>
    <col min="14" max="14" width="17.875" customWidth="1"/>
    <col min="15" max="15" width="16" customWidth="1"/>
    <col min="18" max="18" width="15.5" customWidth="1"/>
    <col min="20" max="21" width="14.125" customWidth="1"/>
    <col min="22" max="22" width="9" style="214"/>
  </cols>
  <sheetData>
    <row r="1" ht="15.75" spans="1:22">
      <c r="A1" s="215" t="s">
        <v>58</v>
      </c>
      <c r="B1" s="216" t="s">
        <v>59</v>
      </c>
      <c r="C1" s="216" t="s">
        <v>60</v>
      </c>
      <c r="D1" s="217" t="s">
        <v>61</v>
      </c>
      <c r="E1" s="218" t="s">
        <v>62</v>
      </c>
      <c r="F1" s="218" t="s">
        <v>63</v>
      </c>
      <c r="G1" s="218" t="s">
        <v>64</v>
      </c>
      <c r="H1" s="219" t="s">
        <v>65</v>
      </c>
      <c r="I1" s="216" t="s">
        <v>66</v>
      </c>
      <c r="J1" s="216" t="s">
        <v>67</v>
      </c>
      <c r="K1" s="216" t="s">
        <v>68</v>
      </c>
      <c r="L1" s="216" t="s">
        <v>69</v>
      </c>
      <c r="M1" s="216" t="s">
        <v>70</v>
      </c>
      <c r="N1" s="216" t="s">
        <v>71</v>
      </c>
      <c r="O1" s="219" t="s">
        <v>72</v>
      </c>
      <c r="P1" s="259" t="s">
        <v>73</v>
      </c>
      <c r="Q1" s="283"/>
      <c r="R1" s="284" t="s">
        <v>74</v>
      </c>
      <c r="S1" s="284"/>
      <c r="T1" s="284" t="s">
        <v>75</v>
      </c>
      <c r="U1" s="259"/>
      <c r="V1" s="285"/>
    </row>
    <row r="2" spans="1:22">
      <c r="A2" s="220" t="s">
        <v>76</v>
      </c>
      <c r="B2" s="221" t="s">
        <v>77</v>
      </c>
      <c r="C2" s="221"/>
      <c r="D2" s="222" t="s">
        <v>78</v>
      </c>
      <c r="E2" s="322" t="s">
        <v>79</v>
      </c>
      <c r="F2" s="322" t="s">
        <v>79</v>
      </c>
      <c r="G2" s="224">
        <v>1</v>
      </c>
      <c r="H2" s="221" t="s">
        <v>80</v>
      </c>
      <c r="I2" s="260" t="s">
        <v>81</v>
      </c>
      <c r="J2" s="261"/>
      <c r="K2" s="261"/>
      <c r="L2" s="261"/>
      <c r="M2" s="261"/>
      <c r="N2" s="261"/>
      <c r="O2" s="262"/>
      <c r="P2" s="263" t="s">
        <v>82</v>
      </c>
      <c r="Q2" s="286" t="s">
        <v>83</v>
      </c>
      <c r="R2" s="270" t="s">
        <v>84</v>
      </c>
      <c r="S2" s="270">
        <v>0</v>
      </c>
      <c r="T2" s="287" t="s">
        <v>84</v>
      </c>
      <c r="U2" s="288"/>
      <c r="V2" s="289"/>
    </row>
    <row r="3" spans="1:22">
      <c r="A3" s="225"/>
      <c r="B3" s="9" t="s">
        <v>85</v>
      </c>
      <c r="C3" s="9"/>
      <c r="D3" s="10" t="s">
        <v>78</v>
      </c>
      <c r="E3" s="323" t="s">
        <v>79</v>
      </c>
      <c r="F3" s="324" t="s">
        <v>79</v>
      </c>
      <c r="G3" s="24">
        <v>1</v>
      </c>
      <c r="H3" s="9" t="s">
        <v>80</v>
      </c>
      <c r="I3" s="11" t="s">
        <v>86</v>
      </c>
      <c r="J3" s="11"/>
      <c r="K3" s="11"/>
      <c r="L3" s="11"/>
      <c r="M3" s="11"/>
      <c r="N3" s="11"/>
      <c r="O3" s="264"/>
      <c r="P3" s="263" t="s">
        <v>82</v>
      </c>
      <c r="Q3" s="290" t="s">
        <v>87</v>
      </c>
      <c r="R3" s="263"/>
      <c r="S3" s="263">
        <v>1</v>
      </c>
      <c r="T3" s="291"/>
      <c r="U3" s="292"/>
      <c r="V3" s="293"/>
    </row>
    <row r="4" spans="1:22">
      <c r="A4" s="225"/>
      <c r="B4" s="9" t="s">
        <v>88</v>
      </c>
      <c r="C4" s="9"/>
      <c r="D4" s="10" t="s">
        <v>78</v>
      </c>
      <c r="E4" s="323" t="s">
        <v>79</v>
      </c>
      <c r="F4" s="324" t="s">
        <v>79</v>
      </c>
      <c r="G4" s="24">
        <v>1</v>
      </c>
      <c r="H4" s="9" t="s">
        <v>80</v>
      </c>
      <c r="I4" s="265" t="s">
        <v>89</v>
      </c>
      <c r="J4" s="11" t="s">
        <v>90</v>
      </c>
      <c r="K4" s="11" t="s">
        <v>91</v>
      </c>
      <c r="L4" s="28" t="s">
        <v>92</v>
      </c>
      <c r="M4" s="24" t="s">
        <v>93</v>
      </c>
      <c r="N4" s="11"/>
      <c r="O4" s="264"/>
      <c r="P4" s="263" t="s">
        <v>82</v>
      </c>
      <c r="Q4" s="290" t="s">
        <v>94</v>
      </c>
      <c r="R4" s="263"/>
      <c r="S4" s="263">
        <v>2</v>
      </c>
      <c r="T4" s="291"/>
      <c r="U4" s="292"/>
      <c r="V4" s="293"/>
    </row>
    <row r="5" spans="1:22">
      <c r="A5" s="225"/>
      <c r="B5" s="9" t="s">
        <v>95</v>
      </c>
      <c r="C5" s="9"/>
      <c r="D5" s="10" t="s">
        <v>78</v>
      </c>
      <c r="E5" s="323" t="s">
        <v>79</v>
      </c>
      <c r="F5" s="324" t="s">
        <v>79</v>
      </c>
      <c r="G5" s="24">
        <v>1</v>
      </c>
      <c r="H5" s="9" t="s">
        <v>80</v>
      </c>
      <c r="I5" s="265" t="s">
        <v>96</v>
      </c>
      <c r="J5" s="11" t="s">
        <v>97</v>
      </c>
      <c r="K5" s="11" t="s">
        <v>98</v>
      </c>
      <c r="L5" s="28" t="s">
        <v>99</v>
      </c>
      <c r="M5" s="24" t="s">
        <v>100</v>
      </c>
      <c r="N5" s="11"/>
      <c r="O5" s="264"/>
      <c r="P5" s="263" t="s">
        <v>82</v>
      </c>
      <c r="Q5" s="290" t="s">
        <v>101</v>
      </c>
      <c r="R5" s="263"/>
      <c r="S5" s="263">
        <v>3</v>
      </c>
      <c r="T5" s="291"/>
      <c r="U5" s="292"/>
      <c r="V5" s="293"/>
    </row>
    <row r="6" spans="1:22">
      <c r="A6" s="225"/>
      <c r="B6" s="9" t="s">
        <v>102</v>
      </c>
      <c r="C6" s="9"/>
      <c r="D6" s="10" t="s">
        <v>78</v>
      </c>
      <c r="E6" s="323" t="s">
        <v>79</v>
      </c>
      <c r="F6" s="324" t="s">
        <v>79</v>
      </c>
      <c r="G6" s="24">
        <v>1</v>
      </c>
      <c r="H6" s="9" t="s">
        <v>80</v>
      </c>
      <c r="I6" s="11" t="s">
        <v>103</v>
      </c>
      <c r="J6" s="11" t="s">
        <v>104</v>
      </c>
      <c r="K6" s="14"/>
      <c r="L6" s="27"/>
      <c r="M6" s="11"/>
      <c r="N6" s="11"/>
      <c r="O6" s="264"/>
      <c r="P6" s="263" t="s">
        <v>82</v>
      </c>
      <c r="Q6" s="290" t="s">
        <v>105</v>
      </c>
      <c r="R6" s="263"/>
      <c r="S6" s="263">
        <v>4</v>
      </c>
      <c r="T6" s="291"/>
      <c r="U6" s="292"/>
      <c r="V6" s="293"/>
    </row>
    <row r="7" spans="1:22">
      <c r="A7" s="225"/>
      <c r="B7" s="9" t="s">
        <v>106</v>
      </c>
      <c r="C7" s="9"/>
      <c r="D7" s="10" t="s">
        <v>78</v>
      </c>
      <c r="E7" s="323" t="s">
        <v>79</v>
      </c>
      <c r="F7" s="324" t="s">
        <v>79</v>
      </c>
      <c r="G7" s="24">
        <v>1</v>
      </c>
      <c r="H7" s="9" t="s">
        <v>80</v>
      </c>
      <c r="I7" s="11" t="s">
        <v>107</v>
      </c>
      <c r="J7" s="11" t="s">
        <v>108</v>
      </c>
      <c r="K7" s="14"/>
      <c r="L7" s="11"/>
      <c r="M7" s="11"/>
      <c r="N7" s="11"/>
      <c r="O7" s="264"/>
      <c r="P7" s="263" t="s">
        <v>82</v>
      </c>
      <c r="Q7" s="290" t="s">
        <v>109</v>
      </c>
      <c r="R7" s="263"/>
      <c r="S7" s="263">
        <v>5</v>
      </c>
      <c r="T7" s="291"/>
      <c r="U7" s="292"/>
      <c r="V7" s="293"/>
    </row>
    <row r="8" spans="1:22">
      <c r="A8" s="225"/>
      <c r="B8" s="9" t="s">
        <v>110</v>
      </c>
      <c r="C8" s="9"/>
      <c r="D8" s="10" t="s">
        <v>111</v>
      </c>
      <c r="E8" s="323" t="s">
        <v>79</v>
      </c>
      <c r="F8" s="324" t="s">
        <v>79</v>
      </c>
      <c r="G8" s="24">
        <v>1</v>
      </c>
      <c r="H8" s="9" t="s">
        <v>80</v>
      </c>
      <c r="I8" s="11" t="s">
        <v>112</v>
      </c>
      <c r="J8" s="7" t="s">
        <v>113</v>
      </c>
      <c r="K8" s="11" t="s">
        <v>114</v>
      </c>
      <c r="L8" s="265" t="s">
        <v>90</v>
      </c>
      <c r="M8" s="24" t="s">
        <v>93</v>
      </c>
      <c r="N8" s="11"/>
      <c r="O8" s="264"/>
      <c r="P8" s="263" t="s">
        <v>82</v>
      </c>
      <c r="Q8" s="290" t="s">
        <v>115</v>
      </c>
      <c r="R8" s="263"/>
      <c r="S8" s="263">
        <v>6</v>
      </c>
      <c r="T8" s="291"/>
      <c r="U8" s="292"/>
      <c r="V8" s="293"/>
    </row>
    <row r="9" spans="1:22">
      <c r="A9" s="225"/>
      <c r="B9" s="9" t="s">
        <v>116</v>
      </c>
      <c r="C9" s="9"/>
      <c r="D9" s="10" t="s">
        <v>111</v>
      </c>
      <c r="E9" s="323" t="s">
        <v>79</v>
      </c>
      <c r="F9" s="324" t="s">
        <v>79</v>
      </c>
      <c r="G9" s="24">
        <v>1</v>
      </c>
      <c r="H9" s="9" t="s">
        <v>80</v>
      </c>
      <c r="I9" s="6" t="s">
        <v>117</v>
      </c>
      <c r="J9" s="7" t="s">
        <v>118</v>
      </c>
      <c r="K9" s="11" t="s">
        <v>119</v>
      </c>
      <c r="L9" s="265" t="s">
        <v>97</v>
      </c>
      <c r="M9" s="24" t="s">
        <v>100</v>
      </c>
      <c r="N9" s="11"/>
      <c r="O9" s="264"/>
      <c r="P9" s="263" t="s">
        <v>82</v>
      </c>
      <c r="Q9" s="290" t="s">
        <v>120</v>
      </c>
      <c r="R9" s="263"/>
      <c r="S9" s="263">
        <v>7</v>
      </c>
      <c r="T9" s="291"/>
      <c r="U9" s="292"/>
      <c r="V9" s="293"/>
    </row>
    <row r="10" spans="1:22">
      <c r="A10" s="225"/>
      <c r="B10" s="9" t="s">
        <v>121</v>
      </c>
      <c r="C10" s="9"/>
      <c r="D10" s="10" t="s">
        <v>78</v>
      </c>
      <c r="E10" s="323" t="s">
        <v>79</v>
      </c>
      <c r="F10" s="324" t="s">
        <v>79</v>
      </c>
      <c r="G10" s="24">
        <v>1</v>
      </c>
      <c r="H10" s="9" t="s">
        <v>80</v>
      </c>
      <c r="I10" s="11" t="s">
        <v>122</v>
      </c>
      <c r="J10" s="11"/>
      <c r="K10" s="11"/>
      <c r="L10" s="11"/>
      <c r="M10" s="11"/>
      <c r="N10" s="11"/>
      <c r="O10" s="264"/>
      <c r="P10" s="263" t="s">
        <v>123</v>
      </c>
      <c r="Q10" s="290" t="s">
        <v>83</v>
      </c>
      <c r="R10" s="263"/>
      <c r="S10" s="263">
        <v>8</v>
      </c>
      <c r="T10" s="291"/>
      <c r="U10" s="292"/>
      <c r="V10" s="293"/>
    </row>
    <row r="11" spans="1:22">
      <c r="A11" s="225"/>
      <c r="B11" s="9" t="s">
        <v>124</v>
      </c>
      <c r="C11" s="9"/>
      <c r="D11" s="10" t="s">
        <v>78</v>
      </c>
      <c r="E11" s="323" t="s">
        <v>79</v>
      </c>
      <c r="F11" s="324" t="s">
        <v>79</v>
      </c>
      <c r="G11" s="24">
        <v>1</v>
      </c>
      <c r="H11" s="9" t="s">
        <v>80</v>
      </c>
      <c r="I11" s="11" t="s">
        <v>125</v>
      </c>
      <c r="J11" s="11"/>
      <c r="K11" s="11"/>
      <c r="L11" s="11"/>
      <c r="M11" s="11"/>
      <c r="N11" s="11"/>
      <c r="O11" s="23"/>
      <c r="P11" s="266" t="s">
        <v>123</v>
      </c>
      <c r="Q11" s="294" t="s">
        <v>87</v>
      </c>
      <c r="R11" s="263"/>
      <c r="S11" s="263">
        <v>9</v>
      </c>
      <c r="T11" s="291"/>
      <c r="U11" s="292"/>
      <c r="V11" s="293"/>
    </row>
    <row r="12" spans="1:22">
      <c r="A12" s="225"/>
      <c r="B12" s="9" t="s">
        <v>126</v>
      </c>
      <c r="C12" s="9"/>
      <c r="D12" s="10" t="s">
        <v>111</v>
      </c>
      <c r="E12" s="323" t="s">
        <v>79</v>
      </c>
      <c r="F12" s="324" t="s">
        <v>79</v>
      </c>
      <c r="G12" s="24">
        <v>1</v>
      </c>
      <c r="H12" s="9" t="s">
        <v>80</v>
      </c>
      <c r="I12" s="7" t="s">
        <v>127</v>
      </c>
      <c r="J12" s="7"/>
      <c r="K12" s="11"/>
      <c r="L12" s="11"/>
      <c r="M12" s="11"/>
      <c r="N12" s="11"/>
      <c r="O12" s="23"/>
      <c r="P12" s="263" t="s">
        <v>123</v>
      </c>
      <c r="Q12" s="294" t="s">
        <v>94</v>
      </c>
      <c r="R12" s="263"/>
      <c r="S12" s="263">
        <v>10</v>
      </c>
      <c r="T12" s="291"/>
      <c r="U12" s="292"/>
      <c r="V12" s="293"/>
    </row>
    <row r="13" spans="1:22">
      <c r="A13" s="225"/>
      <c r="B13" s="9" t="s">
        <v>128</v>
      </c>
      <c r="C13" s="227"/>
      <c r="D13" s="10" t="s">
        <v>111</v>
      </c>
      <c r="E13" s="323" t="s">
        <v>79</v>
      </c>
      <c r="F13" s="324" t="s">
        <v>79</v>
      </c>
      <c r="G13" s="228">
        <v>1</v>
      </c>
      <c r="H13" s="9" t="s">
        <v>80</v>
      </c>
      <c r="I13" s="267" t="s">
        <v>129</v>
      </c>
      <c r="J13" s="267"/>
      <c r="K13" s="268"/>
      <c r="L13" s="268"/>
      <c r="M13" s="268"/>
      <c r="N13" s="268"/>
      <c r="O13" s="269"/>
      <c r="P13" s="263" t="s">
        <v>123</v>
      </c>
      <c r="Q13" s="294" t="s">
        <v>101</v>
      </c>
      <c r="R13" s="276"/>
      <c r="S13" s="276">
        <v>11</v>
      </c>
      <c r="T13" s="295"/>
      <c r="U13" s="296"/>
      <c r="V13" s="297"/>
    </row>
    <row r="14" spans="1:22">
      <c r="A14" s="225"/>
      <c r="B14" s="227" t="s">
        <v>130</v>
      </c>
      <c r="C14" s="227"/>
      <c r="D14" s="229" t="s">
        <v>131</v>
      </c>
      <c r="E14" s="325" t="s">
        <v>79</v>
      </c>
      <c r="F14" s="326" t="s">
        <v>79</v>
      </c>
      <c r="G14" s="24">
        <v>0</v>
      </c>
      <c r="H14" s="232" t="s">
        <v>80</v>
      </c>
      <c r="I14" s="230" t="s">
        <v>132</v>
      </c>
      <c r="J14" s="230"/>
      <c r="K14" s="268"/>
      <c r="L14" s="268"/>
      <c r="M14" s="268"/>
      <c r="N14" s="268"/>
      <c r="O14" s="269"/>
      <c r="P14" s="263" t="s">
        <v>123</v>
      </c>
      <c r="Q14" s="298" t="s">
        <v>105</v>
      </c>
      <c r="R14" s="276"/>
      <c r="S14" s="276">
        <v>12</v>
      </c>
      <c r="T14" s="295"/>
      <c r="U14" s="296"/>
      <c r="V14" s="297"/>
    </row>
    <row r="15" ht="15.75" spans="1:22">
      <c r="A15" s="233"/>
      <c r="B15" s="227" t="s">
        <v>133</v>
      </c>
      <c r="C15" s="227"/>
      <c r="D15" s="229" t="s">
        <v>131</v>
      </c>
      <c r="E15" s="325" t="s">
        <v>79</v>
      </c>
      <c r="F15" s="325" t="s">
        <v>79</v>
      </c>
      <c r="G15" s="234">
        <v>0</v>
      </c>
      <c r="H15" s="227" t="s">
        <v>80</v>
      </c>
      <c r="I15" s="230" t="s">
        <v>132</v>
      </c>
      <c r="J15" s="230"/>
      <c r="K15" s="268"/>
      <c r="L15" s="268"/>
      <c r="M15" s="268"/>
      <c r="N15" s="268"/>
      <c r="O15" s="269"/>
      <c r="P15" s="263" t="s">
        <v>123</v>
      </c>
      <c r="Q15" s="298" t="s">
        <v>109</v>
      </c>
      <c r="R15" s="276"/>
      <c r="S15" s="276">
        <v>12</v>
      </c>
      <c r="T15" s="295"/>
      <c r="U15" s="296"/>
      <c r="V15" s="297"/>
    </row>
    <row r="16" spans="1:22">
      <c r="A16" s="235" t="s">
        <v>134</v>
      </c>
      <c r="B16" s="236" t="s">
        <v>135</v>
      </c>
      <c r="C16" s="223"/>
      <c r="D16" s="223" t="s">
        <v>136</v>
      </c>
      <c r="E16" s="223" t="s">
        <v>137</v>
      </c>
      <c r="F16" s="322" t="s">
        <v>79</v>
      </c>
      <c r="G16" s="223" t="s">
        <v>135</v>
      </c>
      <c r="H16" s="223" t="s">
        <v>135</v>
      </c>
      <c r="I16" s="223"/>
      <c r="J16" s="221"/>
      <c r="K16" s="221"/>
      <c r="L16" s="221"/>
      <c r="M16" s="221"/>
      <c r="N16" s="221"/>
      <c r="O16" s="221"/>
      <c r="P16" s="270" t="s">
        <v>138</v>
      </c>
      <c r="Q16" s="270" t="s">
        <v>138</v>
      </c>
      <c r="R16" s="270" t="s">
        <v>138</v>
      </c>
      <c r="S16" s="270" t="s">
        <v>138</v>
      </c>
      <c r="T16" s="270" t="s">
        <v>138</v>
      </c>
      <c r="U16" s="299"/>
      <c r="V16" s="300" t="s">
        <v>138</v>
      </c>
    </row>
    <row r="17" ht="15.75" spans="1:22">
      <c r="A17" s="237"/>
      <c r="B17" s="238" t="s">
        <v>139</v>
      </c>
      <c r="C17" s="239"/>
      <c r="D17" s="239" t="s">
        <v>136</v>
      </c>
      <c r="E17" s="239" t="s">
        <v>140</v>
      </c>
      <c r="F17" s="239">
        <v>0</v>
      </c>
      <c r="G17" s="239" t="s">
        <v>139</v>
      </c>
      <c r="H17" s="239" t="s">
        <v>139</v>
      </c>
      <c r="I17" s="239"/>
      <c r="J17" s="251"/>
      <c r="K17" s="251"/>
      <c r="L17" s="251"/>
      <c r="M17" s="251"/>
      <c r="N17" s="251"/>
      <c r="O17" s="251"/>
      <c r="P17" s="271" t="s">
        <v>138</v>
      </c>
      <c r="Q17" s="271" t="s">
        <v>138</v>
      </c>
      <c r="R17" s="301" t="s">
        <v>141</v>
      </c>
      <c r="S17" s="271">
        <v>0</v>
      </c>
      <c r="T17" s="301" t="s">
        <v>141</v>
      </c>
      <c r="U17" s="302"/>
      <c r="V17" s="303" t="s">
        <v>142</v>
      </c>
    </row>
    <row r="18" spans="1:22">
      <c r="A18" s="225"/>
      <c r="B18" s="240" t="s">
        <v>143</v>
      </c>
      <c r="C18" s="241" t="s">
        <v>144</v>
      </c>
      <c r="D18" s="240" t="s">
        <v>136</v>
      </c>
      <c r="E18" s="6" t="s">
        <v>145</v>
      </c>
      <c r="F18" s="240">
        <v>0</v>
      </c>
      <c r="G18" s="242">
        <v>1</v>
      </c>
      <c r="H18" s="240" t="s">
        <v>80</v>
      </c>
      <c r="I18" s="272" t="s">
        <v>146</v>
      </c>
      <c r="J18" s="240"/>
      <c r="K18" s="240"/>
      <c r="L18" s="18" t="s">
        <v>147</v>
      </c>
      <c r="M18" s="240"/>
      <c r="N18" s="240"/>
      <c r="O18" s="273"/>
      <c r="P18" s="266" t="s">
        <v>148</v>
      </c>
      <c r="Q18" s="304" t="s">
        <v>83</v>
      </c>
      <c r="R18" s="305" t="s">
        <v>149</v>
      </c>
      <c r="S18" s="266">
        <v>0</v>
      </c>
      <c r="T18" s="306" t="s">
        <v>149</v>
      </c>
      <c r="U18" s="307"/>
      <c r="V18" s="308" t="s">
        <v>142</v>
      </c>
    </row>
    <row r="19" spans="1:22">
      <c r="A19" s="225"/>
      <c r="B19" s="6" t="s">
        <v>150</v>
      </c>
      <c r="C19" s="17" t="s">
        <v>151</v>
      </c>
      <c r="D19" s="6" t="s">
        <v>136</v>
      </c>
      <c r="E19" s="6" t="s">
        <v>145</v>
      </c>
      <c r="F19" s="6">
        <v>0</v>
      </c>
      <c r="G19" s="243">
        <v>1</v>
      </c>
      <c r="H19" s="6" t="s">
        <v>80</v>
      </c>
      <c r="I19" s="18" t="s">
        <v>152</v>
      </c>
      <c r="J19" s="6"/>
      <c r="K19" s="6"/>
      <c r="L19" s="10" t="s">
        <v>153</v>
      </c>
      <c r="M19" s="6"/>
      <c r="N19" s="6"/>
      <c r="O19" s="7"/>
      <c r="P19" s="266" t="s">
        <v>148</v>
      </c>
      <c r="Q19" s="294" t="s">
        <v>87</v>
      </c>
      <c r="R19" s="305"/>
      <c r="S19" s="263">
        <v>1</v>
      </c>
      <c r="T19" s="305"/>
      <c r="U19" s="309"/>
      <c r="V19" s="293" t="s">
        <v>154</v>
      </c>
    </row>
    <row r="20" spans="1:22">
      <c r="A20" s="225"/>
      <c r="B20" s="6" t="s">
        <v>155</v>
      </c>
      <c r="C20" s="17" t="s">
        <v>156</v>
      </c>
      <c r="D20" s="6" t="s">
        <v>136</v>
      </c>
      <c r="E20" s="6" t="s">
        <v>140</v>
      </c>
      <c r="F20" s="6">
        <v>0</v>
      </c>
      <c r="G20" s="243">
        <v>1</v>
      </c>
      <c r="H20" s="6" t="s">
        <v>80</v>
      </c>
      <c r="I20" s="18" t="s">
        <v>157</v>
      </c>
      <c r="J20" s="6"/>
      <c r="K20" s="6"/>
      <c r="L20" s="10" t="s">
        <v>158</v>
      </c>
      <c r="M20" s="6"/>
      <c r="N20" s="6"/>
      <c r="O20" s="7"/>
      <c r="P20" s="266" t="s">
        <v>148</v>
      </c>
      <c r="Q20" s="294" t="s">
        <v>94</v>
      </c>
      <c r="R20" s="305"/>
      <c r="S20" s="263">
        <v>2</v>
      </c>
      <c r="T20" s="305"/>
      <c r="U20" s="309"/>
      <c r="V20" s="293" t="s">
        <v>159</v>
      </c>
    </row>
    <row r="21" spans="1:22">
      <c r="A21" s="225"/>
      <c r="B21" s="6" t="s">
        <v>160</v>
      </c>
      <c r="C21" s="17" t="s">
        <v>161</v>
      </c>
      <c r="D21" s="6" t="s">
        <v>136</v>
      </c>
      <c r="E21" s="6" t="s">
        <v>140</v>
      </c>
      <c r="F21" s="6">
        <v>0</v>
      </c>
      <c r="G21" s="243">
        <v>1</v>
      </c>
      <c r="H21" s="6" t="s">
        <v>80</v>
      </c>
      <c r="I21" s="18" t="s">
        <v>162</v>
      </c>
      <c r="J21" s="6"/>
      <c r="K21" s="6"/>
      <c r="L21" s="10" t="s">
        <v>163</v>
      </c>
      <c r="M21" s="6"/>
      <c r="N21" s="6"/>
      <c r="O21" s="7"/>
      <c r="P21" s="266" t="s">
        <v>148</v>
      </c>
      <c r="Q21" s="294" t="s">
        <v>101</v>
      </c>
      <c r="R21" s="305"/>
      <c r="S21" s="263">
        <v>3</v>
      </c>
      <c r="T21" s="305"/>
      <c r="U21" s="309"/>
      <c r="V21" s="293" t="s">
        <v>164</v>
      </c>
    </row>
    <row r="22" spans="1:22">
      <c r="A22" s="225"/>
      <c r="B22" s="6" t="s">
        <v>165</v>
      </c>
      <c r="C22" s="6"/>
      <c r="D22" s="6" t="s">
        <v>136</v>
      </c>
      <c r="E22" s="6" t="s">
        <v>145</v>
      </c>
      <c r="F22" s="6">
        <v>0</v>
      </c>
      <c r="G22" s="243">
        <v>1</v>
      </c>
      <c r="H22" s="6" t="s">
        <v>80</v>
      </c>
      <c r="I22" s="18" t="s">
        <v>166</v>
      </c>
      <c r="J22" s="274" t="s">
        <v>167</v>
      </c>
      <c r="K22" s="6"/>
      <c r="L22" s="10" t="s">
        <v>168</v>
      </c>
      <c r="M22" s="6"/>
      <c r="N22" s="6"/>
      <c r="O22" s="7"/>
      <c r="P22" s="266" t="s">
        <v>148</v>
      </c>
      <c r="Q22" s="294" t="s">
        <v>105</v>
      </c>
      <c r="R22" s="305"/>
      <c r="S22" s="263">
        <v>4</v>
      </c>
      <c r="T22" s="305"/>
      <c r="U22" s="309"/>
      <c r="V22" s="293" t="s">
        <v>169</v>
      </c>
    </row>
    <row r="23" spans="1:22">
      <c r="A23" s="225"/>
      <c r="B23" s="6" t="s">
        <v>170</v>
      </c>
      <c r="C23" s="17" t="s">
        <v>171</v>
      </c>
      <c r="D23" s="6" t="s">
        <v>136</v>
      </c>
      <c r="E23" s="6" t="s">
        <v>140</v>
      </c>
      <c r="F23" s="6">
        <v>0</v>
      </c>
      <c r="G23" s="243">
        <v>1</v>
      </c>
      <c r="H23" s="6" t="s">
        <v>80</v>
      </c>
      <c r="I23" s="18" t="s">
        <v>172</v>
      </c>
      <c r="J23" s="6"/>
      <c r="K23" s="6"/>
      <c r="L23" s="10" t="s">
        <v>173</v>
      </c>
      <c r="M23" s="6"/>
      <c r="N23" s="6"/>
      <c r="O23" s="6"/>
      <c r="P23" s="266" t="s">
        <v>148</v>
      </c>
      <c r="Q23" s="294" t="s">
        <v>109</v>
      </c>
      <c r="R23" s="305"/>
      <c r="S23" s="263">
        <v>5</v>
      </c>
      <c r="T23" s="305"/>
      <c r="U23" s="309" t="s">
        <v>174</v>
      </c>
      <c r="V23" s="293" t="s">
        <v>175</v>
      </c>
    </row>
    <row r="24" spans="1:22">
      <c r="A24" s="225"/>
      <c r="B24" s="6" t="s">
        <v>176</v>
      </c>
      <c r="C24" s="17" t="s">
        <v>177</v>
      </c>
      <c r="D24" s="6" t="s">
        <v>136</v>
      </c>
      <c r="E24" s="6" t="s">
        <v>145</v>
      </c>
      <c r="F24" s="6">
        <v>0</v>
      </c>
      <c r="G24" s="6">
        <v>0</v>
      </c>
      <c r="H24" s="6" t="s">
        <v>80</v>
      </c>
      <c r="I24" s="6" t="s">
        <v>178</v>
      </c>
      <c r="J24" s="6"/>
      <c r="K24" s="7"/>
      <c r="L24" s="6"/>
      <c r="M24" s="6"/>
      <c r="N24" s="6"/>
      <c r="O24" s="6"/>
      <c r="P24" s="266" t="s">
        <v>148</v>
      </c>
      <c r="Q24" s="294" t="s">
        <v>115</v>
      </c>
      <c r="R24" s="305"/>
      <c r="S24" s="263">
        <v>6</v>
      </c>
      <c r="T24" s="305"/>
      <c r="U24" s="309"/>
      <c r="V24" s="293" t="s">
        <v>179</v>
      </c>
    </row>
    <row r="25" spans="1:22">
      <c r="A25" s="225"/>
      <c r="B25" s="6" t="s">
        <v>180</v>
      </c>
      <c r="C25" s="17" t="s">
        <v>181</v>
      </c>
      <c r="D25" s="6" t="s">
        <v>136</v>
      </c>
      <c r="E25" s="6" t="s">
        <v>145</v>
      </c>
      <c r="F25" s="6">
        <v>0</v>
      </c>
      <c r="G25" s="6">
        <v>0</v>
      </c>
      <c r="H25" s="6" t="s">
        <v>80</v>
      </c>
      <c r="I25" s="6" t="s">
        <v>182</v>
      </c>
      <c r="J25" s="6"/>
      <c r="K25" s="7"/>
      <c r="L25" s="6"/>
      <c r="M25" s="6"/>
      <c r="N25" s="6"/>
      <c r="O25" s="6"/>
      <c r="P25" s="266" t="s">
        <v>148</v>
      </c>
      <c r="Q25" s="294" t="s">
        <v>120</v>
      </c>
      <c r="R25" s="305"/>
      <c r="S25" s="263">
        <v>7</v>
      </c>
      <c r="T25" s="305"/>
      <c r="U25" s="309"/>
      <c r="V25" s="293" t="s">
        <v>183</v>
      </c>
    </row>
    <row r="26" spans="1:22">
      <c r="A26" s="225"/>
      <c r="B26" s="6" t="s">
        <v>184</v>
      </c>
      <c r="C26" s="17" t="s">
        <v>185</v>
      </c>
      <c r="D26" s="6" t="s">
        <v>136</v>
      </c>
      <c r="E26" s="6" t="s">
        <v>145</v>
      </c>
      <c r="F26" s="6">
        <v>0</v>
      </c>
      <c r="G26" s="6">
        <v>0</v>
      </c>
      <c r="H26" s="6" t="s">
        <v>80</v>
      </c>
      <c r="I26" s="6" t="s">
        <v>186</v>
      </c>
      <c r="J26" s="7" t="s">
        <v>187</v>
      </c>
      <c r="K26" s="7" t="s">
        <v>188</v>
      </c>
      <c r="L26" s="6"/>
      <c r="M26" s="6"/>
      <c r="N26" s="6"/>
      <c r="O26" s="6"/>
      <c r="P26" s="263" t="s">
        <v>189</v>
      </c>
      <c r="Q26" s="294" t="s">
        <v>83</v>
      </c>
      <c r="R26" s="305"/>
      <c r="S26" s="263">
        <v>8</v>
      </c>
      <c r="T26" s="305"/>
      <c r="U26" s="309"/>
      <c r="V26" s="293" t="s">
        <v>190</v>
      </c>
    </row>
    <row r="27" spans="1:22">
      <c r="A27" s="225"/>
      <c r="B27" s="6" t="s">
        <v>191</v>
      </c>
      <c r="C27" s="17" t="s">
        <v>192</v>
      </c>
      <c r="D27" s="6" t="s">
        <v>136</v>
      </c>
      <c r="E27" s="6" t="s">
        <v>145</v>
      </c>
      <c r="F27" s="6">
        <v>0</v>
      </c>
      <c r="G27" s="6">
        <v>0</v>
      </c>
      <c r="H27" s="6" t="s">
        <v>80</v>
      </c>
      <c r="I27" s="6" t="s">
        <v>193</v>
      </c>
      <c r="J27" s="7" t="s">
        <v>194</v>
      </c>
      <c r="K27" s="7" t="s">
        <v>195</v>
      </c>
      <c r="L27" s="30" t="s">
        <v>196</v>
      </c>
      <c r="M27" s="6"/>
      <c r="N27" s="6"/>
      <c r="O27" s="6"/>
      <c r="P27" s="263" t="s">
        <v>189</v>
      </c>
      <c r="Q27" s="294" t="s">
        <v>87</v>
      </c>
      <c r="R27" s="305"/>
      <c r="S27" s="263">
        <v>9</v>
      </c>
      <c r="T27" s="305"/>
      <c r="U27" s="309"/>
      <c r="V27" s="293" t="s">
        <v>197</v>
      </c>
    </row>
    <row r="28" spans="1:22">
      <c r="A28" s="225"/>
      <c r="B28" s="6" t="s">
        <v>198</v>
      </c>
      <c r="C28" s="17" t="s">
        <v>199</v>
      </c>
      <c r="D28" s="6" t="s">
        <v>136</v>
      </c>
      <c r="E28" s="6" t="s">
        <v>140</v>
      </c>
      <c r="F28" s="6">
        <v>0</v>
      </c>
      <c r="G28" s="6">
        <v>0</v>
      </c>
      <c r="H28" s="6" t="s">
        <v>80</v>
      </c>
      <c r="I28" s="6" t="s">
        <v>187</v>
      </c>
      <c r="J28" s="18" t="s">
        <v>178</v>
      </c>
      <c r="K28" s="6"/>
      <c r="L28" s="6"/>
      <c r="M28" s="6"/>
      <c r="N28" s="6"/>
      <c r="O28" s="6"/>
      <c r="P28" s="263" t="s">
        <v>189</v>
      </c>
      <c r="Q28" s="294" t="s">
        <v>94</v>
      </c>
      <c r="R28" s="305"/>
      <c r="S28" s="263">
        <v>10</v>
      </c>
      <c r="T28" s="305"/>
      <c r="U28" s="309"/>
      <c r="V28" s="293" t="s">
        <v>200</v>
      </c>
    </row>
    <row r="29" spans="1:22">
      <c r="A29" s="225"/>
      <c r="B29" s="6" t="s">
        <v>201</v>
      </c>
      <c r="C29" s="17" t="s">
        <v>202</v>
      </c>
      <c r="D29" s="6" t="s">
        <v>136</v>
      </c>
      <c r="E29" s="6" t="s">
        <v>145</v>
      </c>
      <c r="F29" s="6">
        <v>0</v>
      </c>
      <c r="G29" s="6">
        <v>0</v>
      </c>
      <c r="H29" s="6" t="s">
        <v>80</v>
      </c>
      <c r="I29" s="6" t="s">
        <v>194</v>
      </c>
      <c r="J29" s="18" t="s">
        <v>182</v>
      </c>
      <c r="K29" s="6"/>
      <c r="L29" s="30" t="s">
        <v>203</v>
      </c>
      <c r="M29" s="6"/>
      <c r="N29" s="7"/>
      <c r="O29" s="6"/>
      <c r="P29" s="263" t="s">
        <v>189</v>
      </c>
      <c r="Q29" s="294" t="s">
        <v>101</v>
      </c>
      <c r="R29" s="305"/>
      <c r="S29" s="263">
        <v>11</v>
      </c>
      <c r="T29" s="305"/>
      <c r="U29" s="309"/>
      <c r="V29" s="293" t="s">
        <v>204</v>
      </c>
    </row>
    <row r="30" spans="1:22">
      <c r="A30" s="225"/>
      <c r="B30" s="6" t="s">
        <v>205</v>
      </c>
      <c r="C30" s="17" t="s">
        <v>206</v>
      </c>
      <c r="D30" s="6" t="s">
        <v>136</v>
      </c>
      <c r="E30" s="6" t="s">
        <v>145</v>
      </c>
      <c r="F30" s="6">
        <v>0</v>
      </c>
      <c r="G30" s="243">
        <v>1</v>
      </c>
      <c r="H30" s="6" t="s">
        <v>80</v>
      </c>
      <c r="I30" s="18" t="s">
        <v>91</v>
      </c>
      <c r="J30" s="7" t="s">
        <v>90</v>
      </c>
      <c r="K30" s="6"/>
      <c r="L30" s="6"/>
      <c r="M30" s="6"/>
      <c r="N30" s="7"/>
      <c r="O30" s="6"/>
      <c r="P30" s="263" t="s">
        <v>189</v>
      </c>
      <c r="Q30" s="294" t="s">
        <v>105</v>
      </c>
      <c r="R30" s="305"/>
      <c r="S30" s="263">
        <v>12</v>
      </c>
      <c r="T30" s="305"/>
      <c r="U30" s="309"/>
      <c r="V30" s="293" t="s">
        <v>207</v>
      </c>
    </row>
    <row r="31" spans="1:22">
      <c r="A31" s="225"/>
      <c r="B31" s="6" t="s">
        <v>208</v>
      </c>
      <c r="C31" s="17" t="s">
        <v>209</v>
      </c>
      <c r="D31" s="6" t="s">
        <v>136</v>
      </c>
      <c r="E31" s="6" t="s">
        <v>140</v>
      </c>
      <c r="F31" s="6">
        <v>0</v>
      </c>
      <c r="G31" s="243">
        <v>1</v>
      </c>
      <c r="H31" s="6" t="s">
        <v>80</v>
      </c>
      <c r="I31" s="18" t="s">
        <v>98</v>
      </c>
      <c r="J31" s="7" t="s">
        <v>97</v>
      </c>
      <c r="K31" s="6"/>
      <c r="L31" s="6"/>
      <c r="M31" s="6"/>
      <c r="N31" s="7"/>
      <c r="O31" s="7"/>
      <c r="P31" s="263" t="s">
        <v>189</v>
      </c>
      <c r="Q31" s="294" t="s">
        <v>109</v>
      </c>
      <c r="R31" s="305"/>
      <c r="S31" s="263">
        <v>13</v>
      </c>
      <c r="T31" s="305"/>
      <c r="U31" s="309"/>
      <c r="V31" s="293" t="s">
        <v>210</v>
      </c>
    </row>
    <row r="32" spans="1:22">
      <c r="A32" s="225"/>
      <c r="B32" s="6" t="s">
        <v>211</v>
      </c>
      <c r="C32" s="17" t="s">
        <v>212</v>
      </c>
      <c r="D32" s="6" t="s">
        <v>136</v>
      </c>
      <c r="E32" s="6" t="s">
        <v>145</v>
      </c>
      <c r="F32" s="6">
        <v>0</v>
      </c>
      <c r="G32" s="243">
        <v>1</v>
      </c>
      <c r="H32" s="6" t="s">
        <v>80</v>
      </c>
      <c r="I32" s="18" t="s">
        <v>114</v>
      </c>
      <c r="J32" s="18" t="s">
        <v>186</v>
      </c>
      <c r="K32" s="18" t="s">
        <v>188</v>
      </c>
      <c r="L32" s="6"/>
      <c r="M32" s="6"/>
      <c r="N32" s="7"/>
      <c r="O32" s="7"/>
      <c r="P32" s="263" t="s">
        <v>189</v>
      </c>
      <c r="Q32" s="294" t="s">
        <v>115</v>
      </c>
      <c r="R32" s="305"/>
      <c r="S32" s="263">
        <v>14</v>
      </c>
      <c r="T32" s="305"/>
      <c r="U32" s="309"/>
      <c r="V32" s="293" t="s">
        <v>213</v>
      </c>
    </row>
    <row r="33" ht="15.75" spans="1:22">
      <c r="A33" s="225"/>
      <c r="B33" s="230" t="s">
        <v>214</v>
      </c>
      <c r="C33" s="244" t="s">
        <v>215</v>
      </c>
      <c r="D33" s="230" t="s">
        <v>136</v>
      </c>
      <c r="E33" s="230" t="s">
        <v>145</v>
      </c>
      <c r="F33" s="230">
        <v>0</v>
      </c>
      <c r="G33" s="245">
        <v>1</v>
      </c>
      <c r="H33" s="230" t="s">
        <v>80</v>
      </c>
      <c r="I33" s="275" t="s">
        <v>119</v>
      </c>
      <c r="J33" s="275" t="s">
        <v>193</v>
      </c>
      <c r="K33" s="275" t="s">
        <v>195</v>
      </c>
      <c r="L33" s="230"/>
      <c r="M33" s="230"/>
      <c r="N33" s="267"/>
      <c r="O33" s="267"/>
      <c r="P33" s="276" t="s">
        <v>189</v>
      </c>
      <c r="Q33" s="298" t="s">
        <v>120</v>
      </c>
      <c r="R33" s="305"/>
      <c r="S33" s="276">
        <v>15</v>
      </c>
      <c r="T33" s="305"/>
      <c r="U33" s="309"/>
      <c r="V33" s="297" t="s">
        <v>216</v>
      </c>
    </row>
    <row r="34" spans="1:22">
      <c r="A34" s="246" t="s">
        <v>217</v>
      </c>
      <c r="B34" s="221" t="s">
        <v>218</v>
      </c>
      <c r="C34" s="247"/>
      <c r="D34" s="248" t="s">
        <v>78</v>
      </c>
      <c r="E34" s="322" t="s">
        <v>79</v>
      </c>
      <c r="F34" s="322" t="s">
        <v>79</v>
      </c>
      <c r="G34" s="223">
        <v>0</v>
      </c>
      <c r="H34" s="223" t="s">
        <v>80</v>
      </c>
      <c r="I34" s="277" t="s">
        <v>219</v>
      </c>
      <c r="J34" s="223"/>
      <c r="K34" s="223"/>
      <c r="L34" s="223"/>
      <c r="M34" s="223"/>
      <c r="N34" s="278" t="s">
        <v>220</v>
      </c>
      <c r="O34" s="279"/>
      <c r="P34" s="270" t="s">
        <v>221</v>
      </c>
      <c r="Q34" s="310" t="s">
        <v>83</v>
      </c>
      <c r="R34" s="311" t="s">
        <v>222</v>
      </c>
      <c r="S34" s="270">
        <v>0</v>
      </c>
      <c r="T34" s="311" t="s">
        <v>222</v>
      </c>
      <c r="U34" s="311"/>
      <c r="V34" s="289"/>
    </row>
    <row r="35" spans="1:22">
      <c r="A35" s="249"/>
      <c r="B35" s="9" t="s">
        <v>223</v>
      </c>
      <c r="C35" s="22" t="s">
        <v>224</v>
      </c>
      <c r="D35" s="6" t="s">
        <v>136</v>
      </c>
      <c r="E35" s="6" t="s">
        <v>145</v>
      </c>
      <c r="F35" s="6">
        <v>0</v>
      </c>
      <c r="G35" s="6">
        <v>0</v>
      </c>
      <c r="H35" s="6" t="s">
        <v>80</v>
      </c>
      <c r="I35" s="7" t="s">
        <v>225</v>
      </c>
      <c r="J35" s="6"/>
      <c r="K35" s="6"/>
      <c r="L35" s="6"/>
      <c r="M35" s="32" t="s">
        <v>226</v>
      </c>
      <c r="N35" s="31" t="s">
        <v>227</v>
      </c>
      <c r="O35" s="7"/>
      <c r="P35" s="263" t="s">
        <v>221</v>
      </c>
      <c r="Q35" s="294" t="s">
        <v>87</v>
      </c>
      <c r="R35" s="312"/>
      <c r="S35" s="263">
        <v>1</v>
      </c>
      <c r="T35" s="312"/>
      <c r="U35" s="312"/>
      <c r="V35" s="293" t="s">
        <v>154</v>
      </c>
    </row>
    <row r="36" spans="1:22">
      <c r="A36" s="249"/>
      <c r="B36" s="9" t="s">
        <v>228</v>
      </c>
      <c r="C36" s="22" t="s">
        <v>229</v>
      </c>
      <c r="D36" s="6" t="s">
        <v>136</v>
      </c>
      <c r="E36" s="6" t="s">
        <v>145</v>
      </c>
      <c r="F36" s="6">
        <v>0</v>
      </c>
      <c r="G36" s="6">
        <v>0</v>
      </c>
      <c r="H36" s="6" t="s">
        <v>80</v>
      </c>
      <c r="I36" s="7" t="s">
        <v>230</v>
      </c>
      <c r="J36" s="10" t="s">
        <v>231</v>
      </c>
      <c r="K36" s="23"/>
      <c r="L36" s="23"/>
      <c r="M36" s="32" t="s">
        <v>232</v>
      </c>
      <c r="N36" s="31" t="s">
        <v>233</v>
      </c>
      <c r="O36" s="7"/>
      <c r="P36" s="263" t="s">
        <v>221</v>
      </c>
      <c r="Q36" s="294" t="s">
        <v>94</v>
      </c>
      <c r="R36" s="312"/>
      <c r="S36" s="263">
        <v>2</v>
      </c>
      <c r="T36" s="312"/>
      <c r="U36" s="312"/>
      <c r="V36" s="293" t="s">
        <v>159</v>
      </c>
    </row>
    <row r="37" spans="1:22">
      <c r="A37" s="249"/>
      <c r="B37" s="9" t="s">
        <v>234</v>
      </c>
      <c r="C37" s="22" t="s">
        <v>235</v>
      </c>
      <c r="D37" s="6" t="s">
        <v>136</v>
      </c>
      <c r="E37" s="6" t="s">
        <v>145</v>
      </c>
      <c r="F37" s="6">
        <v>0</v>
      </c>
      <c r="G37" s="6">
        <v>0</v>
      </c>
      <c r="H37" s="6" t="s">
        <v>80</v>
      </c>
      <c r="I37" s="7" t="s">
        <v>236</v>
      </c>
      <c r="J37" s="10" t="s">
        <v>237</v>
      </c>
      <c r="K37" s="23"/>
      <c r="L37" s="23"/>
      <c r="M37" s="32" t="s">
        <v>238</v>
      </c>
      <c r="N37" s="31" t="s">
        <v>239</v>
      </c>
      <c r="O37" s="7"/>
      <c r="P37" s="263" t="s">
        <v>221</v>
      </c>
      <c r="Q37" s="294" t="s">
        <v>101</v>
      </c>
      <c r="R37" s="312"/>
      <c r="S37" s="263">
        <v>3</v>
      </c>
      <c r="T37" s="312"/>
      <c r="U37" s="312"/>
      <c r="V37" s="293" t="s">
        <v>164</v>
      </c>
    </row>
    <row r="38" spans="1:22">
      <c r="A38" s="249"/>
      <c r="B38" s="9" t="s">
        <v>240</v>
      </c>
      <c r="C38" s="22" t="s">
        <v>241</v>
      </c>
      <c r="D38" s="6" t="s">
        <v>136</v>
      </c>
      <c r="E38" s="6" t="s">
        <v>145</v>
      </c>
      <c r="F38" s="6">
        <v>0</v>
      </c>
      <c r="G38" s="6">
        <v>0</v>
      </c>
      <c r="H38" s="6" t="s">
        <v>80</v>
      </c>
      <c r="I38" s="7" t="s">
        <v>242</v>
      </c>
      <c r="J38" s="18" t="s">
        <v>243</v>
      </c>
      <c r="K38" s="23"/>
      <c r="L38" s="23"/>
      <c r="M38" s="32" t="s">
        <v>244</v>
      </c>
      <c r="N38" s="31" t="s">
        <v>245</v>
      </c>
      <c r="O38" s="7"/>
      <c r="P38" s="263" t="s">
        <v>221</v>
      </c>
      <c r="Q38" s="294" t="s">
        <v>105</v>
      </c>
      <c r="R38" s="312"/>
      <c r="S38" s="263">
        <v>4</v>
      </c>
      <c r="T38" s="312"/>
      <c r="U38" s="312"/>
      <c r="V38" s="293" t="s">
        <v>169</v>
      </c>
    </row>
    <row r="39" spans="1:22">
      <c r="A39" s="249"/>
      <c r="B39" s="9" t="s">
        <v>246</v>
      </c>
      <c r="C39" s="22" t="s">
        <v>247</v>
      </c>
      <c r="D39" s="6" t="s">
        <v>136</v>
      </c>
      <c r="E39" s="6" t="s">
        <v>145</v>
      </c>
      <c r="F39" s="6">
        <v>0</v>
      </c>
      <c r="G39" s="6">
        <v>0</v>
      </c>
      <c r="H39" s="6" t="s">
        <v>80</v>
      </c>
      <c r="I39" s="7" t="s">
        <v>248</v>
      </c>
      <c r="J39" s="10" t="s">
        <v>249</v>
      </c>
      <c r="K39" s="23"/>
      <c r="L39" s="23"/>
      <c r="M39" s="32" t="s">
        <v>250</v>
      </c>
      <c r="N39" s="31" t="s">
        <v>251</v>
      </c>
      <c r="O39" s="7"/>
      <c r="P39" s="263" t="s">
        <v>221</v>
      </c>
      <c r="Q39" s="294" t="s">
        <v>109</v>
      </c>
      <c r="R39" s="312"/>
      <c r="S39" s="263">
        <v>5</v>
      </c>
      <c r="T39" s="312"/>
      <c r="U39" s="312"/>
      <c r="V39" s="293" t="s">
        <v>175</v>
      </c>
    </row>
    <row r="40" spans="1:22">
      <c r="A40" s="249"/>
      <c r="B40" s="9" t="s">
        <v>252</v>
      </c>
      <c r="C40" s="22" t="s">
        <v>253</v>
      </c>
      <c r="D40" s="6" t="s">
        <v>136</v>
      </c>
      <c r="E40" s="6" t="s">
        <v>145</v>
      </c>
      <c r="F40" s="6">
        <v>0</v>
      </c>
      <c r="G40" s="6">
        <v>0</v>
      </c>
      <c r="H40" s="6" t="s">
        <v>80</v>
      </c>
      <c r="I40" s="7" t="s">
        <v>254</v>
      </c>
      <c r="J40" s="10" t="s">
        <v>255</v>
      </c>
      <c r="K40" s="6"/>
      <c r="L40" s="6"/>
      <c r="M40" s="32" t="s">
        <v>256</v>
      </c>
      <c r="N40" s="31" t="s">
        <v>257</v>
      </c>
      <c r="O40" s="7"/>
      <c r="P40" s="263" t="s">
        <v>221</v>
      </c>
      <c r="Q40" s="294" t="s">
        <v>115</v>
      </c>
      <c r="R40" s="312"/>
      <c r="S40" s="263">
        <v>6</v>
      </c>
      <c r="T40" s="312"/>
      <c r="U40" s="312"/>
      <c r="V40" s="293" t="s">
        <v>179</v>
      </c>
    </row>
    <row r="41" spans="1:22">
      <c r="A41" s="249"/>
      <c r="B41" s="9" t="s">
        <v>258</v>
      </c>
      <c r="C41" s="22" t="s">
        <v>259</v>
      </c>
      <c r="D41" s="6" t="s">
        <v>136</v>
      </c>
      <c r="E41" s="6" t="s">
        <v>145</v>
      </c>
      <c r="F41" s="6">
        <v>0</v>
      </c>
      <c r="G41" s="6">
        <v>0</v>
      </c>
      <c r="H41" s="6" t="s">
        <v>80</v>
      </c>
      <c r="I41" s="7" t="s">
        <v>260</v>
      </c>
      <c r="J41" s="10" t="s">
        <v>261</v>
      </c>
      <c r="K41" s="7"/>
      <c r="L41" s="6"/>
      <c r="M41" s="32" t="s">
        <v>262</v>
      </c>
      <c r="N41" s="31" t="s">
        <v>263</v>
      </c>
      <c r="O41" s="7"/>
      <c r="P41" s="263" t="s">
        <v>221</v>
      </c>
      <c r="Q41" s="294" t="s">
        <v>120</v>
      </c>
      <c r="R41" s="312"/>
      <c r="S41" s="263">
        <v>7</v>
      </c>
      <c r="T41" s="312"/>
      <c r="U41" s="312"/>
      <c r="V41" s="293" t="s">
        <v>183</v>
      </c>
    </row>
    <row r="42" spans="1:22">
      <c r="A42" s="249"/>
      <c r="B42" s="9" t="s">
        <v>264</v>
      </c>
      <c r="C42" s="22" t="s">
        <v>265</v>
      </c>
      <c r="D42" s="6" t="s">
        <v>136</v>
      </c>
      <c r="E42" s="6" t="s">
        <v>140</v>
      </c>
      <c r="F42" s="6">
        <v>0</v>
      </c>
      <c r="G42" s="6">
        <v>0</v>
      </c>
      <c r="H42" s="6" t="s">
        <v>80</v>
      </c>
      <c r="I42" s="7" t="s">
        <v>266</v>
      </c>
      <c r="J42" s="6" t="s">
        <v>173</v>
      </c>
      <c r="K42" s="6" t="s">
        <v>267</v>
      </c>
      <c r="L42" s="10" t="s">
        <v>268</v>
      </c>
      <c r="M42" s="32" t="s">
        <v>269</v>
      </c>
      <c r="N42" s="31" t="s">
        <v>270</v>
      </c>
      <c r="O42" s="7"/>
      <c r="P42" s="263" t="s">
        <v>271</v>
      </c>
      <c r="Q42" s="294" t="s">
        <v>83</v>
      </c>
      <c r="R42" s="312"/>
      <c r="S42" s="263">
        <v>8</v>
      </c>
      <c r="T42" s="312"/>
      <c r="U42" s="312"/>
      <c r="V42" s="293" t="s">
        <v>190</v>
      </c>
    </row>
    <row r="43" spans="1:22">
      <c r="A43" s="249"/>
      <c r="B43" s="9" t="s">
        <v>272</v>
      </c>
      <c r="C43" s="22" t="s">
        <v>273</v>
      </c>
      <c r="D43" s="6" t="s">
        <v>136</v>
      </c>
      <c r="E43" s="6" t="s">
        <v>145</v>
      </c>
      <c r="F43" s="6">
        <v>0</v>
      </c>
      <c r="G43" s="6">
        <v>0</v>
      </c>
      <c r="H43" s="6" t="s">
        <v>80</v>
      </c>
      <c r="I43" s="7" t="s">
        <v>274</v>
      </c>
      <c r="J43" s="6" t="s">
        <v>153</v>
      </c>
      <c r="K43" s="6" t="s">
        <v>275</v>
      </c>
      <c r="L43" s="10" t="s">
        <v>268</v>
      </c>
      <c r="M43" s="32" t="s">
        <v>276</v>
      </c>
      <c r="N43" s="31" t="s">
        <v>277</v>
      </c>
      <c r="O43" s="7"/>
      <c r="P43" s="263" t="s">
        <v>271</v>
      </c>
      <c r="Q43" s="294" t="s">
        <v>87</v>
      </c>
      <c r="R43" s="312"/>
      <c r="S43" s="263">
        <v>9</v>
      </c>
      <c r="T43" s="312"/>
      <c r="U43" s="312"/>
      <c r="V43" s="293" t="s">
        <v>197</v>
      </c>
    </row>
    <row r="44" spans="1:22">
      <c r="A44" s="249"/>
      <c r="B44" s="9" t="s">
        <v>278</v>
      </c>
      <c r="C44" s="22" t="s">
        <v>279</v>
      </c>
      <c r="D44" s="6" t="s">
        <v>136</v>
      </c>
      <c r="E44" s="6" t="s">
        <v>145</v>
      </c>
      <c r="F44" s="6">
        <v>0</v>
      </c>
      <c r="G44" s="6">
        <v>0</v>
      </c>
      <c r="H44" s="6" t="s">
        <v>80</v>
      </c>
      <c r="I44" s="7" t="s">
        <v>280</v>
      </c>
      <c r="J44" s="6" t="s">
        <v>147</v>
      </c>
      <c r="K44" s="6" t="s">
        <v>281</v>
      </c>
      <c r="L44" s="6"/>
      <c r="M44" s="32" t="s">
        <v>282</v>
      </c>
      <c r="N44" s="31" t="s">
        <v>283</v>
      </c>
      <c r="O44" s="7"/>
      <c r="P44" s="263" t="s">
        <v>271</v>
      </c>
      <c r="Q44" s="294" t="s">
        <v>94</v>
      </c>
      <c r="R44" s="312"/>
      <c r="S44" s="263">
        <v>10</v>
      </c>
      <c r="T44" s="312"/>
      <c r="U44" s="312"/>
      <c r="V44" s="293" t="s">
        <v>200</v>
      </c>
    </row>
    <row r="45" spans="1:22">
      <c r="A45" s="249"/>
      <c r="B45" s="9" t="s">
        <v>284</v>
      </c>
      <c r="C45" s="22" t="s">
        <v>285</v>
      </c>
      <c r="D45" s="6" t="s">
        <v>136</v>
      </c>
      <c r="E45" s="6" t="s">
        <v>145</v>
      </c>
      <c r="F45" s="6">
        <v>0</v>
      </c>
      <c r="G45" s="6">
        <v>0</v>
      </c>
      <c r="H45" s="6" t="s">
        <v>80</v>
      </c>
      <c r="I45" s="7" t="s">
        <v>286</v>
      </c>
      <c r="J45" s="6" t="s">
        <v>168</v>
      </c>
      <c r="K45" s="6" t="s">
        <v>287</v>
      </c>
      <c r="L45" s="19" t="s">
        <v>167</v>
      </c>
      <c r="M45" s="6"/>
      <c r="N45" s="31" t="s">
        <v>288</v>
      </c>
      <c r="O45" s="7"/>
      <c r="P45" s="263" t="s">
        <v>271</v>
      </c>
      <c r="Q45" s="294" t="s">
        <v>101</v>
      </c>
      <c r="R45" s="312"/>
      <c r="S45" s="263">
        <v>11</v>
      </c>
      <c r="T45" s="312"/>
      <c r="U45" s="312"/>
      <c r="V45" s="293" t="s">
        <v>204</v>
      </c>
    </row>
    <row r="46" spans="1:22">
      <c r="A46" s="249"/>
      <c r="B46" s="9" t="s">
        <v>289</v>
      </c>
      <c r="C46" s="22" t="s">
        <v>290</v>
      </c>
      <c r="D46" s="6" t="s">
        <v>136</v>
      </c>
      <c r="E46" s="6" t="s">
        <v>145</v>
      </c>
      <c r="F46" s="6">
        <v>0</v>
      </c>
      <c r="G46" s="6">
        <v>0</v>
      </c>
      <c r="H46" s="6" t="s">
        <v>80</v>
      </c>
      <c r="I46" s="7" t="s">
        <v>291</v>
      </c>
      <c r="J46" s="6" t="s">
        <v>267</v>
      </c>
      <c r="K46" s="6"/>
      <c r="L46" s="10" t="s">
        <v>268</v>
      </c>
      <c r="M46" s="32" t="s">
        <v>292</v>
      </c>
      <c r="N46" s="31" t="s">
        <v>293</v>
      </c>
      <c r="O46" s="7"/>
      <c r="P46" s="263" t="s">
        <v>271</v>
      </c>
      <c r="Q46" s="294" t="s">
        <v>105</v>
      </c>
      <c r="R46" s="312"/>
      <c r="S46" s="263">
        <v>12</v>
      </c>
      <c r="T46" s="312"/>
      <c r="U46" s="312"/>
      <c r="V46" s="293" t="s">
        <v>207</v>
      </c>
    </row>
    <row r="47" spans="1:22">
      <c r="A47" s="249"/>
      <c r="B47" s="9" t="s">
        <v>294</v>
      </c>
      <c r="C47" s="22" t="s">
        <v>295</v>
      </c>
      <c r="D47" s="6" t="s">
        <v>136</v>
      </c>
      <c r="E47" s="6" t="s">
        <v>145</v>
      </c>
      <c r="F47" s="6">
        <v>0</v>
      </c>
      <c r="G47" s="6">
        <v>0</v>
      </c>
      <c r="H47" s="6" t="s">
        <v>80</v>
      </c>
      <c r="I47" s="6" t="s">
        <v>275</v>
      </c>
      <c r="J47" s="6"/>
      <c r="K47" s="6"/>
      <c r="L47" s="10" t="s">
        <v>268</v>
      </c>
      <c r="M47" s="32" t="s">
        <v>296</v>
      </c>
      <c r="N47" s="31" t="s">
        <v>297</v>
      </c>
      <c r="O47" s="7"/>
      <c r="P47" s="263" t="s">
        <v>271</v>
      </c>
      <c r="Q47" s="294" t="s">
        <v>109</v>
      </c>
      <c r="R47" s="312"/>
      <c r="S47" s="263">
        <v>13</v>
      </c>
      <c r="T47" s="312"/>
      <c r="U47" s="312"/>
      <c r="V47" s="293" t="s">
        <v>210</v>
      </c>
    </row>
    <row r="48" spans="1:22">
      <c r="A48" s="249"/>
      <c r="B48" s="9" t="s">
        <v>298</v>
      </c>
      <c r="C48" s="22" t="s">
        <v>299</v>
      </c>
      <c r="D48" s="6" t="s">
        <v>136</v>
      </c>
      <c r="E48" s="6" t="s">
        <v>145</v>
      </c>
      <c r="F48" s="6">
        <v>0</v>
      </c>
      <c r="G48" s="6">
        <v>0</v>
      </c>
      <c r="H48" s="6" t="s">
        <v>80</v>
      </c>
      <c r="I48" s="6" t="s">
        <v>281</v>
      </c>
      <c r="J48" s="6"/>
      <c r="K48" s="6"/>
      <c r="L48" s="6"/>
      <c r="M48" s="32" t="s">
        <v>300</v>
      </c>
      <c r="N48" s="31" t="s">
        <v>301</v>
      </c>
      <c r="O48" s="7"/>
      <c r="P48" s="263" t="s">
        <v>271</v>
      </c>
      <c r="Q48" s="294" t="s">
        <v>115</v>
      </c>
      <c r="R48" s="312"/>
      <c r="S48" s="263">
        <v>14</v>
      </c>
      <c r="T48" s="312"/>
      <c r="U48" s="312"/>
      <c r="V48" s="293" t="s">
        <v>213</v>
      </c>
    </row>
    <row r="49" spans="1:22">
      <c r="A49" s="249"/>
      <c r="B49" s="9" t="s">
        <v>302</v>
      </c>
      <c r="C49" s="22" t="s">
        <v>303</v>
      </c>
      <c r="D49" s="6" t="s">
        <v>136</v>
      </c>
      <c r="E49" s="6" t="s">
        <v>145</v>
      </c>
      <c r="F49" s="6">
        <v>0</v>
      </c>
      <c r="G49" s="6">
        <v>0</v>
      </c>
      <c r="H49" s="6" t="s">
        <v>80</v>
      </c>
      <c r="I49" s="6" t="s">
        <v>287</v>
      </c>
      <c r="J49" s="6"/>
      <c r="K49" s="6"/>
      <c r="L49" s="6"/>
      <c r="M49" s="32" t="s">
        <v>304</v>
      </c>
      <c r="N49" s="31" t="s">
        <v>305</v>
      </c>
      <c r="O49" s="7"/>
      <c r="P49" s="263" t="s">
        <v>271</v>
      </c>
      <c r="Q49" s="294" t="s">
        <v>120</v>
      </c>
      <c r="R49" s="312"/>
      <c r="S49" s="263">
        <v>15</v>
      </c>
      <c r="T49" s="312"/>
      <c r="U49" s="312"/>
      <c r="V49" s="293" t="s">
        <v>216</v>
      </c>
    </row>
    <row r="50" spans="1:22">
      <c r="A50" s="249"/>
      <c r="B50" s="9" t="s">
        <v>306</v>
      </c>
      <c r="C50" s="22" t="s">
        <v>307</v>
      </c>
      <c r="D50" s="6" t="s">
        <v>136</v>
      </c>
      <c r="E50" s="6" t="s">
        <v>137</v>
      </c>
      <c r="F50" s="6">
        <v>0</v>
      </c>
      <c r="G50" s="6">
        <v>0</v>
      </c>
      <c r="H50" s="6" t="s">
        <v>80</v>
      </c>
      <c r="I50" s="7" t="s">
        <v>100</v>
      </c>
      <c r="J50" s="18" t="s">
        <v>231</v>
      </c>
      <c r="K50" s="6"/>
      <c r="L50" s="23"/>
      <c r="M50" s="32" t="s">
        <v>308</v>
      </c>
      <c r="N50" s="7"/>
      <c r="O50" s="7"/>
      <c r="P50" s="263" t="s">
        <v>309</v>
      </c>
      <c r="Q50" s="294" t="s">
        <v>83</v>
      </c>
      <c r="R50" s="312"/>
      <c r="S50" s="263">
        <v>16</v>
      </c>
      <c r="T50" s="312" t="s">
        <v>310</v>
      </c>
      <c r="U50" s="312"/>
      <c r="V50" s="293" t="s">
        <v>142</v>
      </c>
    </row>
    <row r="51" spans="1:22">
      <c r="A51" s="249"/>
      <c r="B51" s="9" t="s">
        <v>311</v>
      </c>
      <c r="C51" s="22" t="s">
        <v>312</v>
      </c>
      <c r="D51" s="6" t="s">
        <v>136</v>
      </c>
      <c r="E51" s="6" t="s">
        <v>137</v>
      </c>
      <c r="F51" s="6">
        <v>0</v>
      </c>
      <c r="G51" s="6">
        <v>0</v>
      </c>
      <c r="H51" s="6" t="s">
        <v>80</v>
      </c>
      <c r="I51" s="7" t="s">
        <v>93</v>
      </c>
      <c r="J51" s="18" t="s">
        <v>237</v>
      </c>
      <c r="K51" s="6"/>
      <c r="L51" s="23"/>
      <c r="M51" s="32" t="s">
        <v>313</v>
      </c>
      <c r="N51" s="6"/>
      <c r="O51" s="6"/>
      <c r="P51" s="263" t="s">
        <v>309</v>
      </c>
      <c r="Q51" s="294" t="s">
        <v>87</v>
      </c>
      <c r="R51" s="312"/>
      <c r="S51" s="263">
        <v>17</v>
      </c>
      <c r="T51" s="312"/>
      <c r="U51" s="312"/>
      <c r="V51" s="293" t="s">
        <v>154</v>
      </c>
    </row>
    <row r="52" spans="1:22">
      <c r="A52" s="249"/>
      <c r="B52" s="9" t="s">
        <v>314</v>
      </c>
      <c r="C52" s="22" t="s">
        <v>315</v>
      </c>
      <c r="D52" s="6" t="s">
        <v>136</v>
      </c>
      <c r="E52" s="6" t="s">
        <v>137</v>
      </c>
      <c r="F52" s="6">
        <v>0</v>
      </c>
      <c r="G52" s="6">
        <v>0</v>
      </c>
      <c r="H52" s="6" t="s">
        <v>80</v>
      </c>
      <c r="I52" s="7" t="s">
        <v>231</v>
      </c>
      <c r="J52" s="6"/>
      <c r="K52" s="6"/>
      <c r="L52" s="6"/>
      <c r="M52" s="23"/>
      <c r="N52" s="23"/>
      <c r="O52" s="23"/>
      <c r="P52" s="263" t="s">
        <v>309</v>
      </c>
      <c r="Q52" s="294" t="s">
        <v>94</v>
      </c>
      <c r="R52" s="312"/>
      <c r="S52" s="263">
        <v>18</v>
      </c>
      <c r="T52" s="312"/>
      <c r="U52" s="312"/>
      <c r="V52" s="293" t="s">
        <v>159</v>
      </c>
    </row>
    <row r="53" spans="1:22">
      <c r="A53" s="249"/>
      <c r="B53" s="9" t="s">
        <v>316</v>
      </c>
      <c r="C53" s="22" t="s">
        <v>317</v>
      </c>
      <c r="D53" s="6" t="s">
        <v>136</v>
      </c>
      <c r="E53" s="6" t="s">
        <v>137</v>
      </c>
      <c r="F53" s="6">
        <v>0</v>
      </c>
      <c r="G53" s="6">
        <v>0</v>
      </c>
      <c r="H53" s="6" t="s">
        <v>80</v>
      </c>
      <c r="I53" s="7" t="s">
        <v>237</v>
      </c>
      <c r="J53" s="18" t="s">
        <v>243</v>
      </c>
      <c r="K53" s="6"/>
      <c r="L53" s="6"/>
      <c r="M53" s="23"/>
      <c r="N53" s="23"/>
      <c r="O53" s="23"/>
      <c r="P53" s="263" t="s">
        <v>309</v>
      </c>
      <c r="Q53" s="294" t="s">
        <v>101</v>
      </c>
      <c r="R53" s="312"/>
      <c r="S53" s="263">
        <v>19</v>
      </c>
      <c r="T53" s="312"/>
      <c r="U53" s="312"/>
      <c r="V53" s="293" t="s">
        <v>164</v>
      </c>
    </row>
    <row r="54" spans="1:22">
      <c r="A54" s="249"/>
      <c r="B54" s="9" t="s">
        <v>318</v>
      </c>
      <c r="C54" s="20"/>
      <c r="D54" s="24" t="s">
        <v>78</v>
      </c>
      <c r="E54" s="6" t="s">
        <v>140</v>
      </c>
      <c r="F54" s="323" t="s">
        <v>79</v>
      </c>
      <c r="G54" s="6">
        <v>0</v>
      </c>
      <c r="H54" s="6" t="s">
        <v>80</v>
      </c>
      <c r="I54" s="10" t="s">
        <v>261</v>
      </c>
      <c r="J54" s="6"/>
      <c r="K54" s="6"/>
      <c r="L54" s="6"/>
      <c r="M54" s="6"/>
      <c r="N54" s="23"/>
      <c r="O54" s="23"/>
      <c r="P54" s="263" t="s">
        <v>309</v>
      </c>
      <c r="Q54" s="294" t="s">
        <v>105</v>
      </c>
      <c r="R54" s="312"/>
      <c r="S54" s="263">
        <v>20</v>
      </c>
      <c r="T54" s="312"/>
      <c r="U54" s="312"/>
      <c r="V54" s="293"/>
    </row>
    <row r="55" spans="1:22">
      <c r="A55" s="249"/>
      <c r="B55" s="9" t="s">
        <v>319</v>
      </c>
      <c r="C55" s="25"/>
      <c r="D55" s="6" t="s">
        <v>136</v>
      </c>
      <c r="E55" s="6" t="s">
        <v>145</v>
      </c>
      <c r="F55" s="6">
        <v>0</v>
      </c>
      <c r="G55" s="6">
        <v>0</v>
      </c>
      <c r="H55" s="6" t="s">
        <v>80</v>
      </c>
      <c r="I55" s="10" t="s">
        <v>249</v>
      </c>
      <c r="J55" s="6"/>
      <c r="K55" s="6"/>
      <c r="L55" s="6"/>
      <c r="M55" s="6"/>
      <c r="N55" s="23"/>
      <c r="O55" s="23"/>
      <c r="P55" s="263" t="s">
        <v>309</v>
      </c>
      <c r="Q55" s="294" t="s">
        <v>109</v>
      </c>
      <c r="R55" s="312"/>
      <c r="S55" s="263">
        <v>21</v>
      </c>
      <c r="T55" s="312"/>
      <c r="U55" s="312"/>
      <c r="V55" s="293" t="s">
        <v>175</v>
      </c>
    </row>
    <row r="56" ht="15.75" spans="1:22">
      <c r="A56" s="250"/>
      <c r="B56" s="251" t="s">
        <v>320</v>
      </c>
      <c r="C56" s="252"/>
      <c r="D56" s="239" t="s">
        <v>136</v>
      </c>
      <c r="E56" s="239" t="s">
        <v>145</v>
      </c>
      <c r="F56" s="239">
        <v>0</v>
      </c>
      <c r="G56" s="239">
        <v>0</v>
      </c>
      <c r="H56" s="239" t="s">
        <v>80</v>
      </c>
      <c r="I56" s="280" t="s">
        <v>255</v>
      </c>
      <c r="J56" s="239"/>
      <c r="K56" s="239"/>
      <c r="L56" s="239"/>
      <c r="M56" s="239"/>
      <c r="N56" s="281"/>
      <c r="O56" s="281"/>
      <c r="P56" s="271" t="s">
        <v>309</v>
      </c>
      <c r="Q56" s="313" t="s">
        <v>115</v>
      </c>
      <c r="R56" s="301"/>
      <c r="S56" s="271">
        <v>22</v>
      </c>
      <c r="T56" s="301"/>
      <c r="U56" s="301"/>
      <c r="V56" s="303" t="s">
        <v>179</v>
      </c>
    </row>
    <row r="57" ht="15.75"/>
    <row r="58" spans="1:22">
      <c r="A58" s="253" t="s">
        <v>321</v>
      </c>
      <c r="B58" s="254" t="s">
        <v>322</v>
      </c>
      <c r="C58" s="255"/>
      <c r="D58" s="223" t="s">
        <v>323</v>
      </c>
      <c r="E58" s="223" t="s">
        <v>137</v>
      </c>
      <c r="F58" s="223">
        <v>0</v>
      </c>
      <c r="G58" s="223">
        <v>1</v>
      </c>
      <c r="H58" s="223" t="s">
        <v>80</v>
      </c>
      <c r="I58" s="223" t="s">
        <v>324</v>
      </c>
      <c r="J58" s="223" t="s">
        <v>325</v>
      </c>
      <c r="K58" s="255"/>
      <c r="L58" s="255"/>
      <c r="M58" s="255"/>
      <c r="N58" s="255"/>
      <c r="O58" s="255"/>
      <c r="P58" s="270" t="s">
        <v>326</v>
      </c>
      <c r="Q58" s="310" t="s">
        <v>83</v>
      </c>
      <c r="R58" s="270" t="s">
        <v>327</v>
      </c>
      <c r="S58" s="270">
        <v>0</v>
      </c>
      <c r="T58" s="311" t="s">
        <v>327</v>
      </c>
      <c r="U58" s="255"/>
      <c r="V58" s="289" t="s">
        <v>142</v>
      </c>
    </row>
    <row r="59" spans="1:22">
      <c r="A59" s="256"/>
      <c r="B59" s="4" t="s">
        <v>328</v>
      </c>
      <c r="C59" s="25"/>
      <c r="D59" s="6" t="s">
        <v>323</v>
      </c>
      <c r="E59" s="6" t="s">
        <v>137</v>
      </c>
      <c r="F59" s="6">
        <v>0</v>
      </c>
      <c r="G59" s="6">
        <v>1</v>
      </c>
      <c r="H59" s="6" t="s">
        <v>80</v>
      </c>
      <c r="I59" s="6" t="s">
        <v>329</v>
      </c>
      <c r="J59" s="6" t="s">
        <v>330</v>
      </c>
      <c r="K59" s="25"/>
      <c r="L59" s="25"/>
      <c r="M59" s="25"/>
      <c r="N59" s="25"/>
      <c r="O59" s="25"/>
      <c r="P59" s="263" t="s">
        <v>326</v>
      </c>
      <c r="Q59" s="294" t="s">
        <v>87</v>
      </c>
      <c r="R59" s="263"/>
      <c r="S59" s="263">
        <v>1</v>
      </c>
      <c r="T59" s="312"/>
      <c r="U59" s="25"/>
      <c r="V59" s="293" t="s">
        <v>154</v>
      </c>
    </row>
    <row r="60" spans="1:22">
      <c r="A60" s="256"/>
      <c r="B60" s="4" t="s">
        <v>331</v>
      </c>
      <c r="C60" s="25"/>
      <c r="D60" s="6" t="s">
        <v>323</v>
      </c>
      <c r="E60" s="6" t="s">
        <v>137</v>
      </c>
      <c r="F60" s="6">
        <v>0</v>
      </c>
      <c r="G60" s="6">
        <v>1</v>
      </c>
      <c r="H60" s="6" t="s">
        <v>80</v>
      </c>
      <c r="I60" s="6" t="s">
        <v>332</v>
      </c>
      <c r="J60" s="6" t="s">
        <v>333</v>
      </c>
      <c r="K60" s="25"/>
      <c r="L60" s="25"/>
      <c r="M60" s="25"/>
      <c r="N60" s="25"/>
      <c r="O60" s="25"/>
      <c r="P60" s="263" t="s">
        <v>326</v>
      </c>
      <c r="Q60" s="294" t="s">
        <v>94</v>
      </c>
      <c r="R60" s="263"/>
      <c r="S60" s="263">
        <v>2</v>
      </c>
      <c r="T60" s="312"/>
      <c r="U60" s="25"/>
      <c r="V60" s="293" t="s">
        <v>159</v>
      </c>
    </row>
    <row r="61" spans="1:22">
      <c r="A61" s="256"/>
      <c r="B61" s="4" t="s">
        <v>334</v>
      </c>
      <c r="C61" s="25"/>
      <c r="D61" s="6" t="s">
        <v>323</v>
      </c>
      <c r="E61" s="6" t="s">
        <v>137</v>
      </c>
      <c r="F61" s="6">
        <v>0</v>
      </c>
      <c r="G61" s="6">
        <v>1</v>
      </c>
      <c r="H61" s="6" t="s">
        <v>80</v>
      </c>
      <c r="I61" s="6" t="s">
        <v>335</v>
      </c>
      <c r="J61" s="6" t="s">
        <v>336</v>
      </c>
      <c r="K61" s="25"/>
      <c r="L61" s="25"/>
      <c r="M61" s="25"/>
      <c r="N61" s="25"/>
      <c r="O61" s="25"/>
      <c r="P61" s="263" t="s">
        <v>326</v>
      </c>
      <c r="Q61" s="294" t="s">
        <v>101</v>
      </c>
      <c r="R61" s="263"/>
      <c r="S61" s="263">
        <v>3</v>
      </c>
      <c r="T61" s="312"/>
      <c r="U61" s="25"/>
      <c r="V61" s="293" t="s">
        <v>164</v>
      </c>
    </row>
    <row r="62" spans="1:22">
      <c r="A62" s="256"/>
      <c r="B62" s="4" t="s">
        <v>337</v>
      </c>
      <c r="C62" s="25"/>
      <c r="D62" s="6" t="s">
        <v>323</v>
      </c>
      <c r="E62" s="6" t="s">
        <v>137</v>
      </c>
      <c r="F62" s="6">
        <v>0</v>
      </c>
      <c r="G62" s="6">
        <v>1</v>
      </c>
      <c r="H62" s="6" t="s">
        <v>80</v>
      </c>
      <c r="I62" s="6" t="s">
        <v>338</v>
      </c>
      <c r="J62" s="6" t="s">
        <v>339</v>
      </c>
      <c r="K62" s="25"/>
      <c r="L62" s="25"/>
      <c r="M62" s="25"/>
      <c r="N62" s="25"/>
      <c r="O62" s="25"/>
      <c r="P62" s="263" t="s">
        <v>326</v>
      </c>
      <c r="Q62" s="294" t="s">
        <v>105</v>
      </c>
      <c r="R62" s="263"/>
      <c r="S62" s="263">
        <v>4</v>
      </c>
      <c r="T62" s="312"/>
      <c r="U62" s="25"/>
      <c r="V62" s="293" t="s">
        <v>169</v>
      </c>
    </row>
    <row r="63" ht="14.25" customHeight="1" spans="1:22">
      <c r="A63" s="256" t="s">
        <v>340</v>
      </c>
      <c r="B63" s="4" t="s">
        <v>341</v>
      </c>
      <c r="C63" s="25"/>
      <c r="D63" s="6" t="s">
        <v>323</v>
      </c>
      <c r="E63" s="6" t="s">
        <v>137</v>
      </c>
      <c r="F63" s="6">
        <v>0</v>
      </c>
      <c r="G63" s="6">
        <v>1</v>
      </c>
      <c r="H63" s="6" t="s">
        <v>80</v>
      </c>
      <c r="I63" s="7" t="s">
        <v>342</v>
      </c>
      <c r="J63" s="6" t="s">
        <v>90</v>
      </c>
      <c r="K63" s="6" t="s">
        <v>249</v>
      </c>
      <c r="L63" s="25"/>
      <c r="M63" s="25"/>
      <c r="N63" s="25"/>
      <c r="O63" s="25"/>
      <c r="P63" s="263" t="s">
        <v>326</v>
      </c>
      <c r="Q63" s="294" t="s">
        <v>109</v>
      </c>
      <c r="R63" s="263" t="s">
        <v>343</v>
      </c>
      <c r="S63" s="263">
        <v>0</v>
      </c>
      <c r="T63" s="263" t="s">
        <v>343</v>
      </c>
      <c r="U63" s="25"/>
      <c r="V63" s="293" t="s">
        <v>142</v>
      </c>
    </row>
    <row r="64" ht="14.25" customHeight="1" spans="1:22">
      <c r="A64" s="257"/>
      <c r="B64" s="258" t="s">
        <v>344</v>
      </c>
      <c r="C64" s="252"/>
      <c r="D64" s="239" t="s">
        <v>323</v>
      </c>
      <c r="E64" s="239" t="s">
        <v>137</v>
      </c>
      <c r="F64" s="239">
        <v>0</v>
      </c>
      <c r="G64" s="239">
        <v>1</v>
      </c>
      <c r="H64" s="239" t="s">
        <v>80</v>
      </c>
      <c r="I64" s="282" t="s">
        <v>345</v>
      </c>
      <c r="J64" s="239" t="s">
        <v>97</v>
      </c>
      <c r="K64" s="239" t="s">
        <v>255</v>
      </c>
      <c r="L64" s="252"/>
      <c r="M64" s="252"/>
      <c r="N64" s="252"/>
      <c r="O64" s="252"/>
      <c r="P64" s="271" t="s">
        <v>326</v>
      </c>
      <c r="Q64" s="313" t="s">
        <v>115</v>
      </c>
      <c r="R64" s="271"/>
      <c r="S64" s="271">
        <v>1</v>
      </c>
      <c r="T64" s="271"/>
      <c r="U64" s="252"/>
      <c r="V64" s="303" t="s">
        <v>154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</sheetData>
  <mergeCells count="19">
    <mergeCell ref="P1:Q1"/>
    <mergeCell ref="R1:S1"/>
    <mergeCell ref="T1:V1"/>
    <mergeCell ref="A2:A15"/>
    <mergeCell ref="A16:A33"/>
    <mergeCell ref="A34:A56"/>
    <mergeCell ref="A58:A62"/>
    <mergeCell ref="A63:A64"/>
    <mergeCell ref="R2:R14"/>
    <mergeCell ref="R18:R33"/>
    <mergeCell ref="R34:R56"/>
    <mergeCell ref="R58:R62"/>
    <mergeCell ref="R63:R64"/>
    <mergeCell ref="T2:T14"/>
    <mergeCell ref="T18:T33"/>
    <mergeCell ref="T34:T49"/>
    <mergeCell ref="T50:T56"/>
    <mergeCell ref="T58:T62"/>
    <mergeCell ref="T63:T6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9"/>
  <sheetViews>
    <sheetView zoomScale="85" zoomScaleNormal="85" workbookViewId="0">
      <pane ySplit="1" topLeftCell="A40" activePane="bottomLeft" state="frozen"/>
      <selection/>
      <selection pane="bottomLeft" activeCell="G35" sqref="G35"/>
    </sheetView>
  </sheetViews>
  <sheetFormatPr defaultColWidth="9" defaultRowHeight="14.1"/>
  <cols>
    <col min="1" max="1" width="9" style="160"/>
    <col min="2" max="2" width="9" style="159" customWidth="1"/>
    <col min="3" max="3" width="14" style="159" customWidth="1"/>
    <col min="4" max="4" width="25.25" style="159" customWidth="1"/>
    <col min="5" max="5" width="7.375" style="159" customWidth="1"/>
    <col min="6" max="6" width="22" style="159" customWidth="1"/>
    <col min="7" max="7" width="20" style="159" customWidth="1"/>
    <col min="8" max="8" width="5" style="159" customWidth="1"/>
    <col min="9" max="9" width="14.125" style="159" customWidth="1"/>
    <col min="10" max="10" width="10" style="159" customWidth="1"/>
    <col min="11" max="11" width="21.875" style="159" customWidth="1"/>
    <col min="12" max="12" width="21" style="159" customWidth="1"/>
    <col min="13" max="13" width="20" style="159" customWidth="1"/>
    <col min="14" max="14" width="20.875" style="159" customWidth="1"/>
    <col min="15" max="15" width="20" style="159" customWidth="1"/>
    <col min="16" max="16" width="21.125" style="159" customWidth="1"/>
    <col min="17" max="18" width="23" style="159" customWidth="1"/>
    <col min="19" max="19" width="29.125" style="159" customWidth="1"/>
    <col min="20" max="20" width="25" style="159" customWidth="1"/>
    <col min="21" max="21" width="27" style="159" customWidth="1"/>
    <col min="22" max="22" width="30.875" style="159" customWidth="1"/>
    <col min="23" max="16373" width="9" style="159"/>
    <col min="16374" max="16384" width="9" style="160"/>
  </cols>
  <sheetData>
    <row r="1" s="159" customFormat="1" ht="71.45" spans="1:22">
      <c r="A1" s="161" t="s">
        <v>346</v>
      </c>
      <c r="B1" s="162" t="s">
        <v>58</v>
      </c>
      <c r="C1" s="162" t="s">
        <v>347</v>
      </c>
      <c r="D1" s="162" t="s">
        <v>61</v>
      </c>
      <c r="E1" s="163" t="s">
        <v>348</v>
      </c>
      <c r="F1" s="162" t="s">
        <v>349</v>
      </c>
      <c r="G1" s="162" t="s">
        <v>350</v>
      </c>
      <c r="H1" s="164" t="s">
        <v>351</v>
      </c>
      <c r="I1" s="162" t="s">
        <v>352</v>
      </c>
      <c r="J1" s="183" t="s">
        <v>353</v>
      </c>
      <c r="K1" s="184" t="s">
        <v>65</v>
      </c>
      <c r="L1" s="164" t="s">
        <v>66</v>
      </c>
      <c r="M1" s="164" t="s">
        <v>67</v>
      </c>
      <c r="N1" s="164" t="s">
        <v>68</v>
      </c>
      <c r="O1" s="164" t="s">
        <v>69</v>
      </c>
      <c r="P1" s="164" t="s">
        <v>70</v>
      </c>
      <c r="Q1" s="164" t="s">
        <v>71</v>
      </c>
      <c r="R1" s="184" t="s">
        <v>72</v>
      </c>
      <c r="S1" s="162" t="s">
        <v>354</v>
      </c>
      <c r="T1" s="164" t="s">
        <v>355</v>
      </c>
      <c r="U1" s="162" t="s">
        <v>356</v>
      </c>
      <c r="V1" s="162" t="s">
        <v>357</v>
      </c>
    </row>
    <row r="2" s="159" customFormat="1" ht="60" customHeight="1" spans="1:22">
      <c r="A2" s="165" t="s">
        <v>358</v>
      </c>
      <c r="B2" s="166" t="s">
        <v>76</v>
      </c>
      <c r="C2" s="167" t="s">
        <v>77</v>
      </c>
      <c r="D2" s="167" t="s">
        <v>78</v>
      </c>
      <c r="E2" s="167"/>
      <c r="F2" s="327" t="s">
        <v>79</v>
      </c>
      <c r="G2" s="327" t="s">
        <v>79</v>
      </c>
      <c r="H2" s="167"/>
      <c r="I2" s="10">
        <v>1</v>
      </c>
      <c r="J2" s="167"/>
      <c r="K2" s="167" t="s">
        <v>77</v>
      </c>
      <c r="L2" s="167" t="s">
        <v>81</v>
      </c>
      <c r="M2" s="167"/>
      <c r="N2" s="167"/>
      <c r="O2" s="167"/>
      <c r="P2" s="167"/>
      <c r="Q2" s="167"/>
      <c r="R2" s="190"/>
      <c r="S2" s="167"/>
      <c r="T2" s="167"/>
      <c r="U2" s="167"/>
      <c r="V2" s="199" t="s">
        <v>359</v>
      </c>
    </row>
    <row r="3" s="159" customFormat="1" ht="15" customHeight="1" spans="1:22">
      <c r="A3" s="168"/>
      <c r="B3" s="169"/>
      <c r="C3" s="167" t="s">
        <v>85</v>
      </c>
      <c r="D3" s="167" t="s">
        <v>78</v>
      </c>
      <c r="E3" s="167"/>
      <c r="F3" s="327" t="s">
        <v>79</v>
      </c>
      <c r="G3" s="327" t="s">
        <v>79</v>
      </c>
      <c r="H3" s="167"/>
      <c r="I3" s="10">
        <v>1</v>
      </c>
      <c r="J3" s="167"/>
      <c r="K3" s="167" t="s">
        <v>85</v>
      </c>
      <c r="L3" s="167" t="s">
        <v>86</v>
      </c>
      <c r="M3" s="167"/>
      <c r="N3" s="167"/>
      <c r="O3" s="167"/>
      <c r="P3" s="167"/>
      <c r="Q3" s="167"/>
      <c r="R3" s="190"/>
      <c r="S3" s="167"/>
      <c r="T3" s="167"/>
      <c r="U3" s="167"/>
      <c r="V3" s="194"/>
    </row>
    <row r="4" s="159" customFormat="1" ht="15" customHeight="1" spans="1:22">
      <c r="A4" s="168"/>
      <c r="B4" s="169"/>
      <c r="C4" s="167" t="s">
        <v>88</v>
      </c>
      <c r="D4" s="10" t="s">
        <v>78</v>
      </c>
      <c r="E4" s="167"/>
      <c r="F4" s="327" t="s">
        <v>79</v>
      </c>
      <c r="G4" s="327" t="s">
        <v>79</v>
      </c>
      <c r="H4" s="167"/>
      <c r="I4" s="10">
        <v>1</v>
      </c>
      <c r="J4" s="167"/>
      <c r="K4" s="167" t="s">
        <v>88</v>
      </c>
      <c r="L4" s="167" t="s">
        <v>89</v>
      </c>
      <c r="M4" s="167" t="s">
        <v>90</v>
      </c>
      <c r="N4" s="167" t="s">
        <v>91</v>
      </c>
      <c r="O4" s="185" t="s">
        <v>92</v>
      </c>
      <c r="P4" s="10" t="s">
        <v>100</v>
      </c>
      <c r="Q4" s="167"/>
      <c r="R4" s="190"/>
      <c r="S4" s="167"/>
      <c r="T4" s="167"/>
      <c r="U4" s="167"/>
      <c r="V4" s="194"/>
    </row>
    <row r="5" s="159" customFormat="1" ht="15" customHeight="1" spans="1:22">
      <c r="A5" s="168"/>
      <c r="B5" s="169"/>
      <c r="C5" s="167" t="s">
        <v>95</v>
      </c>
      <c r="D5" s="10" t="s">
        <v>78</v>
      </c>
      <c r="E5" s="167"/>
      <c r="F5" s="327" t="s">
        <v>79</v>
      </c>
      <c r="G5" s="327" t="s">
        <v>79</v>
      </c>
      <c r="H5" s="167"/>
      <c r="I5" s="10">
        <v>1</v>
      </c>
      <c r="J5" s="167"/>
      <c r="K5" s="167" t="s">
        <v>95</v>
      </c>
      <c r="L5" s="167" t="s">
        <v>96</v>
      </c>
      <c r="M5" s="167" t="s">
        <v>97</v>
      </c>
      <c r="N5" s="167" t="s">
        <v>98</v>
      </c>
      <c r="O5" s="185" t="s">
        <v>99</v>
      </c>
      <c r="P5" s="10" t="s">
        <v>93</v>
      </c>
      <c r="Q5" s="167"/>
      <c r="R5" s="190"/>
      <c r="S5" s="167"/>
      <c r="T5" s="167"/>
      <c r="U5" s="167"/>
      <c r="V5" s="177"/>
    </row>
    <row r="6" s="159" customFormat="1" ht="14.25" customHeight="1" spans="1:22">
      <c r="A6" s="168"/>
      <c r="B6" s="169"/>
      <c r="C6" s="167" t="s">
        <v>102</v>
      </c>
      <c r="D6" s="167" t="s">
        <v>78</v>
      </c>
      <c r="E6" s="167"/>
      <c r="F6" s="327" t="s">
        <v>79</v>
      </c>
      <c r="G6" s="327" t="s">
        <v>79</v>
      </c>
      <c r="H6" s="167"/>
      <c r="I6" s="10">
        <v>1</v>
      </c>
      <c r="J6" s="167"/>
      <c r="K6" s="167" t="s">
        <v>102</v>
      </c>
      <c r="L6" s="167" t="s">
        <v>103</v>
      </c>
      <c r="M6" s="167" t="s">
        <v>104</v>
      </c>
      <c r="N6" s="186"/>
      <c r="O6" s="167"/>
      <c r="P6" s="167"/>
      <c r="Q6" s="167"/>
      <c r="R6" s="190"/>
      <c r="S6" s="167"/>
      <c r="T6" s="167"/>
      <c r="U6" s="167"/>
      <c r="V6" s="166" t="s">
        <v>360</v>
      </c>
    </row>
    <row r="7" s="159" customFormat="1" ht="15" customHeight="1" spans="1:22">
      <c r="A7" s="168"/>
      <c r="B7" s="169"/>
      <c r="C7" s="167" t="s">
        <v>106</v>
      </c>
      <c r="D7" s="167" t="s">
        <v>78</v>
      </c>
      <c r="E7" s="167"/>
      <c r="F7" s="327" t="s">
        <v>79</v>
      </c>
      <c r="G7" s="327" t="s">
        <v>79</v>
      </c>
      <c r="H7" s="167"/>
      <c r="I7" s="10">
        <v>1</v>
      </c>
      <c r="J7" s="167"/>
      <c r="K7" s="167" t="s">
        <v>106</v>
      </c>
      <c r="L7" s="167" t="s">
        <v>107</v>
      </c>
      <c r="M7" s="167" t="s">
        <v>108</v>
      </c>
      <c r="N7" s="186"/>
      <c r="O7" s="167"/>
      <c r="P7" s="167"/>
      <c r="Q7" s="167"/>
      <c r="R7" s="190"/>
      <c r="S7" s="167"/>
      <c r="T7" s="167"/>
      <c r="U7" s="167"/>
      <c r="V7" s="169"/>
    </row>
    <row r="8" s="159" customFormat="1" ht="15" customHeight="1" spans="1:22">
      <c r="A8" s="168"/>
      <c r="B8" s="169"/>
      <c r="C8" s="167" t="s">
        <v>110</v>
      </c>
      <c r="D8" s="167" t="s">
        <v>111</v>
      </c>
      <c r="E8" s="167"/>
      <c r="F8" s="327" t="s">
        <v>79</v>
      </c>
      <c r="G8" s="327" t="s">
        <v>79</v>
      </c>
      <c r="H8" s="167"/>
      <c r="I8" s="10">
        <v>1</v>
      </c>
      <c r="J8" s="167"/>
      <c r="K8" s="167" t="s">
        <v>110</v>
      </c>
      <c r="L8" s="167" t="s">
        <v>112</v>
      </c>
      <c r="M8" s="167" t="s">
        <v>113</v>
      </c>
      <c r="N8" s="167" t="s">
        <v>114</v>
      </c>
      <c r="O8" s="10" t="s">
        <v>90</v>
      </c>
      <c r="P8" s="10" t="s">
        <v>100</v>
      </c>
      <c r="Q8" s="167"/>
      <c r="R8" s="190"/>
      <c r="S8" s="167"/>
      <c r="T8" s="167"/>
      <c r="U8" s="167"/>
      <c r="V8" s="169"/>
    </row>
    <row r="9" s="159" customFormat="1" ht="15" customHeight="1" spans="1:22">
      <c r="A9" s="168"/>
      <c r="B9" s="169"/>
      <c r="C9" s="167" t="s">
        <v>116</v>
      </c>
      <c r="D9" s="167" t="s">
        <v>111</v>
      </c>
      <c r="E9" s="167"/>
      <c r="F9" s="327" t="s">
        <v>79</v>
      </c>
      <c r="G9" s="327" t="s">
        <v>79</v>
      </c>
      <c r="H9" s="167"/>
      <c r="I9" s="10">
        <v>1</v>
      </c>
      <c r="J9" s="167"/>
      <c r="K9" s="167" t="s">
        <v>116</v>
      </c>
      <c r="L9" s="167" t="s">
        <v>117</v>
      </c>
      <c r="M9" s="167" t="s">
        <v>118</v>
      </c>
      <c r="N9" s="167" t="s">
        <v>119</v>
      </c>
      <c r="O9" s="10" t="s">
        <v>97</v>
      </c>
      <c r="P9" s="10" t="s">
        <v>93</v>
      </c>
      <c r="Q9" s="167"/>
      <c r="R9" s="190"/>
      <c r="S9" s="167"/>
      <c r="T9" s="167"/>
      <c r="U9" s="167"/>
      <c r="V9" s="170"/>
    </row>
    <row r="10" s="159" customFormat="1" ht="15" customHeight="1" spans="1:22">
      <c r="A10" s="168"/>
      <c r="B10" s="169"/>
      <c r="C10" s="167" t="s">
        <v>121</v>
      </c>
      <c r="D10" s="167" t="s">
        <v>78</v>
      </c>
      <c r="E10" s="167"/>
      <c r="F10" s="327" t="s">
        <v>79</v>
      </c>
      <c r="G10" s="327" t="s">
        <v>79</v>
      </c>
      <c r="H10" s="167"/>
      <c r="I10" s="10">
        <v>1</v>
      </c>
      <c r="J10" s="167"/>
      <c r="K10" s="167" t="s">
        <v>121</v>
      </c>
      <c r="L10" s="167" t="s">
        <v>122</v>
      </c>
      <c r="M10" s="167"/>
      <c r="N10" s="167"/>
      <c r="O10" s="167"/>
      <c r="P10" s="167"/>
      <c r="Q10" s="167"/>
      <c r="R10" s="190"/>
      <c r="S10" s="167"/>
      <c r="T10" s="167"/>
      <c r="U10" s="167"/>
      <c r="V10" s="166" t="s">
        <v>361</v>
      </c>
    </row>
    <row r="11" s="159" customFormat="1" ht="15" customHeight="1" spans="1:22">
      <c r="A11" s="168"/>
      <c r="B11" s="169"/>
      <c r="C11" s="167" t="s">
        <v>124</v>
      </c>
      <c r="D11" s="167" t="s">
        <v>78</v>
      </c>
      <c r="E11" s="167"/>
      <c r="F11" s="327" t="s">
        <v>79</v>
      </c>
      <c r="G11" s="327" t="s">
        <v>79</v>
      </c>
      <c r="H11" s="167"/>
      <c r="I11" s="10">
        <v>1</v>
      </c>
      <c r="J11" s="167"/>
      <c r="K11" s="167" t="s">
        <v>124</v>
      </c>
      <c r="L11" s="167" t="s">
        <v>125</v>
      </c>
      <c r="M11" s="167"/>
      <c r="N11" s="167"/>
      <c r="O11" s="167"/>
      <c r="P11" s="167"/>
      <c r="Q11" s="167"/>
      <c r="R11" s="190"/>
      <c r="S11" s="167"/>
      <c r="T11" s="167"/>
      <c r="U11" s="167"/>
      <c r="V11" s="169"/>
    </row>
    <row r="12" s="159" customFormat="1" ht="15" customHeight="1" spans="1:22">
      <c r="A12" s="168"/>
      <c r="B12" s="169"/>
      <c r="C12" s="167" t="s">
        <v>126</v>
      </c>
      <c r="D12" s="167" t="s">
        <v>111</v>
      </c>
      <c r="E12" s="167"/>
      <c r="F12" s="327" t="s">
        <v>79</v>
      </c>
      <c r="G12" s="327" t="s">
        <v>79</v>
      </c>
      <c r="H12" s="167"/>
      <c r="I12" s="10">
        <v>1</v>
      </c>
      <c r="J12" s="167"/>
      <c r="K12" s="167" t="s">
        <v>126</v>
      </c>
      <c r="L12" s="176" t="s">
        <v>127</v>
      </c>
      <c r="M12" s="176"/>
      <c r="N12" s="167"/>
      <c r="O12" s="167"/>
      <c r="P12" s="167"/>
      <c r="Q12" s="167"/>
      <c r="R12" s="190"/>
      <c r="S12" s="167"/>
      <c r="T12" s="167"/>
      <c r="U12" s="167"/>
      <c r="V12" s="169"/>
    </row>
    <row r="13" s="159" customFormat="1" ht="15" customHeight="1" spans="1:22">
      <c r="A13" s="168"/>
      <c r="B13" s="169"/>
      <c r="C13" s="167" t="s">
        <v>128</v>
      </c>
      <c r="D13" s="167" t="s">
        <v>111</v>
      </c>
      <c r="E13" s="167"/>
      <c r="F13" s="327" t="s">
        <v>79</v>
      </c>
      <c r="G13" s="327" t="s">
        <v>79</v>
      </c>
      <c r="H13" s="167"/>
      <c r="I13" s="10">
        <v>1</v>
      </c>
      <c r="J13" s="167"/>
      <c r="K13" s="167" t="s">
        <v>128</v>
      </c>
      <c r="L13" s="167" t="s">
        <v>129</v>
      </c>
      <c r="M13" s="167"/>
      <c r="N13" s="167"/>
      <c r="O13" s="167"/>
      <c r="P13" s="167"/>
      <c r="Q13" s="167"/>
      <c r="R13" s="190"/>
      <c r="S13" s="167"/>
      <c r="T13" s="167"/>
      <c r="U13" s="167"/>
      <c r="V13" s="170"/>
    </row>
    <row r="14" s="159" customFormat="1" ht="15" customHeight="1" spans="1:22">
      <c r="A14" s="168"/>
      <c r="B14" s="170"/>
      <c r="C14" s="167" t="s">
        <v>130</v>
      </c>
      <c r="D14" s="171" t="s">
        <v>131</v>
      </c>
      <c r="E14" s="167" t="s">
        <v>362</v>
      </c>
      <c r="F14" s="167" t="s">
        <v>140</v>
      </c>
      <c r="G14" s="167">
        <v>0</v>
      </c>
      <c r="H14" s="167"/>
      <c r="I14" s="187">
        <v>0</v>
      </c>
      <c r="J14" s="167"/>
      <c r="K14" s="167" t="s">
        <v>130</v>
      </c>
      <c r="L14" s="167" t="s">
        <v>132</v>
      </c>
      <c r="M14" s="167"/>
      <c r="N14" s="167"/>
      <c r="O14" s="167"/>
      <c r="P14" s="167"/>
      <c r="Q14" s="167"/>
      <c r="R14" s="176"/>
      <c r="S14" s="167"/>
      <c r="T14" s="167" t="s">
        <v>363</v>
      </c>
      <c r="U14" s="167"/>
      <c r="V14" s="167" t="s">
        <v>364</v>
      </c>
    </row>
    <row r="15" s="159" customFormat="1" ht="15" customHeight="1" spans="1:22">
      <c r="A15" s="165" t="s">
        <v>365</v>
      </c>
      <c r="B15" s="166" t="s">
        <v>134</v>
      </c>
      <c r="C15" s="167" t="s">
        <v>143</v>
      </c>
      <c r="D15" s="167" t="s">
        <v>136</v>
      </c>
      <c r="E15" s="167" t="s">
        <v>362</v>
      </c>
      <c r="F15" s="167" t="s">
        <v>145</v>
      </c>
      <c r="G15" s="167">
        <v>0</v>
      </c>
      <c r="H15" s="167" t="s">
        <v>366</v>
      </c>
      <c r="I15" s="10">
        <v>1</v>
      </c>
      <c r="J15" s="167"/>
      <c r="K15" s="167" t="s">
        <v>143</v>
      </c>
      <c r="L15" s="176" t="s">
        <v>146</v>
      </c>
      <c r="M15" s="167"/>
      <c r="N15" s="167"/>
      <c r="O15" s="10" t="s">
        <v>147</v>
      </c>
      <c r="P15" s="167"/>
      <c r="Q15" s="167"/>
      <c r="R15" s="176"/>
      <c r="S15" s="167"/>
      <c r="T15" s="167"/>
      <c r="U15" s="167"/>
      <c r="V15" s="167" t="s">
        <v>367</v>
      </c>
    </row>
    <row r="16" s="159" customFormat="1" ht="15" customHeight="1" spans="1:22">
      <c r="A16" s="168"/>
      <c r="B16" s="169"/>
      <c r="C16" s="172" t="s">
        <v>150</v>
      </c>
      <c r="D16" s="167" t="s">
        <v>136</v>
      </c>
      <c r="E16" s="167" t="s">
        <v>362</v>
      </c>
      <c r="F16" s="167" t="s">
        <v>145</v>
      </c>
      <c r="G16" s="167">
        <v>0</v>
      </c>
      <c r="H16" s="167" t="s">
        <v>366</v>
      </c>
      <c r="I16" s="10">
        <v>1</v>
      </c>
      <c r="J16" s="167"/>
      <c r="K16" s="167" t="s">
        <v>150</v>
      </c>
      <c r="L16" s="176" t="s">
        <v>152</v>
      </c>
      <c r="M16" s="167"/>
      <c r="N16" s="167"/>
      <c r="O16" s="10" t="s">
        <v>153</v>
      </c>
      <c r="P16" s="167"/>
      <c r="Q16" s="167"/>
      <c r="R16" s="176"/>
      <c r="S16" s="167"/>
      <c r="T16" s="167"/>
      <c r="U16" s="167"/>
      <c r="V16" s="167" t="s">
        <v>368</v>
      </c>
    </row>
    <row r="17" s="159" customFormat="1" ht="15" customHeight="1" spans="1:22">
      <c r="A17" s="168"/>
      <c r="B17" s="169"/>
      <c r="C17" s="172" t="s">
        <v>155</v>
      </c>
      <c r="D17" s="167" t="s">
        <v>136</v>
      </c>
      <c r="E17" s="167" t="s">
        <v>362</v>
      </c>
      <c r="F17" s="167" t="s">
        <v>140</v>
      </c>
      <c r="G17" s="167">
        <v>0</v>
      </c>
      <c r="H17" s="167" t="s">
        <v>366</v>
      </c>
      <c r="I17" s="10">
        <v>1</v>
      </c>
      <c r="J17" s="167"/>
      <c r="K17" s="167" t="s">
        <v>155</v>
      </c>
      <c r="L17" s="176" t="s">
        <v>157</v>
      </c>
      <c r="M17" s="6"/>
      <c r="N17" s="167"/>
      <c r="O17" s="10" t="s">
        <v>158</v>
      </c>
      <c r="P17" s="167"/>
      <c r="Q17" s="167"/>
      <c r="R17" s="176"/>
      <c r="S17" s="167"/>
      <c r="T17" s="167"/>
      <c r="U17" s="167"/>
      <c r="V17" s="167" t="s">
        <v>369</v>
      </c>
    </row>
    <row r="18" s="159" customFormat="1" ht="15" customHeight="1" spans="1:22">
      <c r="A18" s="168"/>
      <c r="B18" s="169"/>
      <c r="C18" s="172" t="s">
        <v>160</v>
      </c>
      <c r="D18" s="167" t="s">
        <v>136</v>
      </c>
      <c r="E18" s="167" t="s">
        <v>362</v>
      </c>
      <c r="F18" s="167" t="s">
        <v>140</v>
      </c>
      <c r="G18" s="167">
        <v>0</v>
      </c>
      <c r="H18" s="167" t="s">
        <v>366</v>
      </c>
      <c r="I18" s="10">
        <v>1</v>
      </c>
      <c r="J18" s="167"/>
      <c r="K18" s="167" t="s">
        <v>160</v>
      </c>
      <c r="L18" s="176" t="s">
        <v>162</v>
      </c>
      <c r="M18" s="6"/>
      <c r="N18" s="167"/>
      <c r="O18" s="10" t="s">
        <v>163</v>
      </c>
      <c r="P18" s="167"/>
      <c r="Q18" s="167"/>
      <c r="R18" s="176"/>
      <c r="S18" s="167"/>
      <c r="T18" s="167"/>
      <c r="U18" s="167"/>
      <c r="V18" s="167" t="s">
        <v>370</v>
      </c>
    </row>
    <row r="19" s="159" customFormat="1" ht="15" customHeight="1" spans="1:22">
      <c r="A19" s="168"/>
      <c r="B19" s="169"/>
      <c r="C19" s="172" t="s">
        <v>165</v>
      </c>
      <c r="D19" s="167" t="s">
        <v>136</v>
      </c>
      <c r="E19" s="167" t="s">
        <v>362</v>
      </c>
      <c r="F19" s="167" t="s">
        <v>145</v>
      </c>
      <c r="G19" s="167">
        <v>0</v>
      </c>
      <c r="H19" s="167" t="s">
        <v>366</v>
      </c>
      <c r="I19" s="10">
        <v>1</v>
      </c>
      <c r="J19" s="167"/>
      <c r="K19" s="167" t="s">
        <v>165</v>
      </c>
      <c r="L19" s="176" t="s">
        <v>371</v>
      </c>
      <c r="M19" s="167"/>
      <c r="N19" s="167"/>
      <c r="O19" s="10" t="s">
        <v>168</v>
      </c>
      <c r="P19" s="167"/>
      <c r="Q19" s="167"/>
      <c r="R19" s="176"/>
      <c r="S19" s="167"/>
      <c r="T19" s="167"/>
      <c r="U19" s="167"/>
      <c r="V19" s="189" t="s">
        <v>372</v>
      </c>
    </row>
    <row r="20" s="159" customFormat="1" ht="15" customHeight="1" spans="1:22">
      <c r="A20" s="168"/>
      <c r="B20" s="169"/>
      <c r="C20" s="172" t="s">
        <v>170</v>
      </c>
      <c r="D20" s="167" t="s">
        <v>136</v>
      </c>
      <c r="E20" s="167" t="s">
        <v>362</v>
      </c>
      <c r="F20" s="167" t="s">
        <v>140</v>
      </c>
      <c r="G20" s="167">
        <v>0</v>
      </c>
      <c r="H20" s="167" t="s">
        <v>366</v>
      </c>
      <c r="I20" s="10">
        <v>1</v>
      </c>
      <c r="J20" s="167"/>
      <c r="K20" s="167" t="s">
        <v>170</v>
      </c>
      <c r="L20" s="176" t="s">
        <v>172</v>
      </c>
      <c r="M20" s="167"/>
      <c r="N20" s="167"/>
      <c r="O20" s="10" t="s">
        <v>173</v>
      </c>
      <c r="P20" s="167"/>
      <c r="Q20" s="167"/>
      <c r="R20" s="167"/>
      <c r="S20" s="167"/>
      <c r="T20" s="167"/>
      <c r="U20" s="167"/>
      <c r="V20" s="189" t="s">
        <v>373</v>
      </c>
    </row>
    <row r="21" s="159" customFormat="1" ht="15" customHeight="1" spans="1:22">
      <c r="A21" s="168"/>
      <c r="B21" s="169"/>
      <c r="C21" s="172" t="s">
        <v>176</v>
      </c>
      <c r="D21" s="167" t="s">
        <v>136</v>
      </c>
      <c r="E21" s="167" t="s">
        <v>362</v>
      </c>
      <c r="F21" s="167" t="s">
        <v>145</v>
      </c>
      <c r="G21" s="167">
        <v>0</v>
      </c>
      <c r="H21" s="167" t="s">
        <v>366</v>
      </c>
      <c r="I21" s="187">
        <v>0</v>
      </c>
      <c r="J21" s="167"/>
      <c r="K21" s="167" t="s">
        <v>176</v>
      </c>
      <c r="L21" s="167" t="s">
        <v>178</v>
      </c>
      <c r="M21" s="167"/>
      <c r="N21" s="176"/>
      <c r="O21" s="167"/>
      <c r="P21" s="167"/>
      <c r="Q21" s="167"/>
      <c r="R21" s="167"/>
      <c r="S21" s="167"/>
      <c r="T21" s="167"/>
      <c r="U21" s="167"/>
      <c r="V21" s="200" t="s">
        <v>374</v>
      </c>
    </row>
    <row r="22" s="159" customFormat="1" ht="15" customHeight="1" spans="1:22">
      <c r="A22" s="168"/>
      <c r="B22" s="169"/>
      <c r="C22" s="172" t="s">
        <v>180</v>
      </c>
      <c r="D22" s="167" t="s">
        <v>136</v>
      </c>
      <c r="E22" s="167" t="s">
        <v>362</v>
      </c>
      <c r="F22" s="167" t="s">
        <v>145</v>
      </c>
      <c r="G22" s="167">
        <v>0</v>
      </c>
      <c r="H22" s="167" t="s">
        <v>366</v>
      </c>
      <c r="I22" s="187">
        <v>0</v>
      </c>
      <c r="J22" s="167"/>
      <c r="K22" s="167" t="s">
        <v>180</v>
      </c>
      <c r="L22" s="167" t="s">
        <v>182</v>
      </c>
      <c r="M22" s="176"/>
      <c r="N22" s="176"/>
      <c r="O22" s="167"/>
      <c r="P22" s="167"/>
      <c r="Q22" s="167"/>
      <c r="R22" s="167"/>
      <c r="S22" s="167"/>
      <c r="T22" s="167"/>
      <c r="U22" s="167"/>
      <c r="V22" s="189"/>
    </row>
    <row r="23" s="159" customFormat="1" ht="15" customHeight="1" spans="1:22">
      <c r="A23" s="168"/>
      <c r="B23" s="169"/>
      <c r="C23" s="172" t="s">
        <v>184</v>
      </c>
      <c r="D23" s="167" t="s">
        <v>136</v>
      </c>
      <c r="E23" s="167" t="s">
        <v>362</v>
      </c>
      <c r="F23" s="167" t="s">
        <v>145</v>
      </c>
      <c r="G23" s="167">
        <v>0</v>
      </c>
      <c r="H23" s="167" t="s">
        <v>366</v>
      </c>
      <c r="I23" s="187">
        <v>0</v>
      </c>
      <c r="J23" s="167"/>
      <c r="K23" s="167" t="s">
        <v>184</v>
      </c>
      <c r="L23" s="167" t="s">
        <v>186</v>
      </c>
      <c r="M23" s="167" t="s">
        <v>187</v>
      </c>
      <c r="N23" s="176" t="s">
        <v>375</v>
      </c>
      <c r="O23" s="6"/>
      <c r="P23" s="167"/>
      <c r="Q23" s="167"/>
      <c r="R23" s="167"/>
      <c r="S23" s="167"/>
      <c r="T23" s="167" t="s">
        <v>363</v>
      </c>
      <c r="U23" s="167"/>
      <c r="V23" s="189" t="s">
        <v>376</v>
      </c>
    </row>
    <row r="24" s="159" customFormat="1" ht="15" customHeight="1" spans="1:22">
      <c r="A24" s="168"/>
      <c r="B24" s="169"/>
      <c r="C24" s="172" t="s">
        <v>191</v>
      </c>
      <c r="D24" s="167" t="s">
        <v>136</v>
      </c>
      <c r="E24" s="167" t="s">
        <v>362</v>
      </c>
      <c r="F24" s="167" t="s">
        <v>145</v>
      </c>
      <c r="G24" s="167">
        <v>0</v>
      </c>
      <c r="H24" s="167" t="s">
        <v>366</v>
      </c>
      <c r="I24" s="187">
        <v>0</v>
      </c>
      <c r="J24" s="167"/>
      <c r="K24" s="167" t="s">
        <v>191</v>
      </c>
      <c r="L24" s="167" t="s">
        <v>193</v>
      </c>
      <c r="M24" s="167" t="s">
        <v>194</v>
      </c>
      <c r="N24" s="176" t="s">
        <v>377</v>
      </c>
      <c r="O24" s="188" t="s">
        <v>196</v>
      </c>
      <c r="P24" s="167"/>
      <c r="Q24" s="167"/>
      <c r="R24" s="167"/>
      <c r="S24" s="189"/>
      <c r="T24" s="189"/>
      <c r="U24" s="189"/>
      <c r="V24" s="200"/>
    </row>
    <row r="25" s="159" customFormat="1" ht="15" customHeight="1" spans="1:22">
      <c r="A25" s="168"/>
      <c r="B25" s="169"/>
      <c r="C25" s="172" t="s">
        <v>198</v>
      </c>
      <c r="D25" s="167" t="s">
        <v>136</v>
      </c>
      <c r="E25" s="167" t="s">
        <v>362</v>
      </c>
      <c r="F25" s="167" t="s">
        <v>140</v>
      </c>
      <c r="G25" s="167">
        <v>0</v>
      </c>
      <c r="H25" s="167" t="s">
        <v>366</v>
      </c>
      <c r="I25" s="187">
        <v>0</v>
      </c>
      <c r="J25" s="167"/>
      <c r="K25" s="167" t="s">
        <v>198</v>
      </c>
      <c r="L25" s="167" t="s">
        <v>187</v>
      </c>
      <c r="M25" s="10" t="s">
        <v>178</v>
      </c>
      <c r="N25" s="167"/>
      <c r="O25" s="167"/>
      <c r="P25" s="167"/>
      <c r="Q25" s="167"/>
      <c r="R25" s="167"/>
      <c r="S25" s="167"/>
      <c r="T25" s="167" t="s">
        <v>363</v>
      </c>
      <c r="U25" s="167"/>
      <c r="V25" s="189" t="s">
        <v>378</v>
      </c>
    </row>
    <row r="26" s="159" customFormat="1" ht="48" customHeight="1" spans="1:22">
      <c r="A26" s="168"/>
      <c r="B26" s="169"/>
      <c r="C26" s="172" t="s">
        <v>201</v>
      </c>
      <c r="D26" s="167" t="s">
        <v>136</v>
      </c>
      <c r="E26" s="167" t="s">
        <v>362</v>
      </c>
      <c r="F26" s="167" t="s">
        <v>145</v>
      </c>
      <c r="G26" s="167">
        <v>0</v>
      </c>
      <c r="H26" s="167" t="s">
        <v>366</v>
      </c>
      <c r="I26" s="187">
        <v>0</v>
      </c>
      <c r="J26" s="167"/>
      <c r="K26" s="167" t="s">
        <v>201</v>
      </c>
      <c r="L26" s="167" t="s">
        <v>194</v>
      </c>
      <c r="M26" s="10" t="s">
        <v>182</v>
      </c>
      <c r="N26" s="176"/>
      <c r="O26" s="188" t="s">
        <v>203</v>
      </c>
      <c r="P26" s="167"/>
      <c r="Q26" s="176"/>
      <c r="R26" s="167"/>
      <c r="S26" s="167"/>
      <c r="T26" s="167"/>
      <c r="U26" s="167"/>
      <c r="V26" s="189" t="s">
        <v>379</v>
      </c>
    </row>
    <row r="27" s="159" customFormat="1" ht="40.5" customHeight="1" spans="1:22">
      <c r="A27" s="168"/>
      <c r="B27" s="169"/>
      <c r="C27" s="172" t="s">
        <v>205</v>
      </c>
      <c r="D27" s="167" t="s">
        <v>136</v>
      </c>
      <c r="E27" s="167" t="s">
        <v>362</v>
      </c>
      <c r="F27" s="167" t="s">
        <v>145</v>
      </c>
      <c r="G27" s="167">
        <v>0</v>
      </c>
      <c r="H27" s="167" t="s">
        <v>366</v>
      </c>
      <c r="I27" s="10">
        <v>1</v>
      </c>
      <c r="J27" s="167"/>
      <c r="K27" s="167" t="s">
        <v>205</v>
      </c>
      <c r="L27" s="10" t="s">
        <v>91</v>
      </c>
      <c r="M27" s="176" t="s">
        <v>90</v>
      </c>
      <c r="N27" s="176"/>
      <c r="O27" s="167"/>
      <c r="P27" s="167"/>
      <c r="Q27" s="176"/>
      <c r="R27" s="167"/>
      <c r="S27" s="167" t="s">
        <v>380</v>
      </c>
      <c r="T27" s="167"/>
      <c r="U27" s="167"/>
      <c r="V27" s="167" t="s">
        <v>380</v>
      </c>
    </row>
    <row r="28" s="159" customFormat="1" ht="34.5" customHeight="1" spans="1:22">
      <c r="A28" s="168"/>
      <c r="B28" s="169"/>
      <c r="C28" s="172" t="s">
        <v>208</v>
      </c>
      <c r="D28" s="167" t="s">
        <v>136</v>
      </c>
      <c r="E28" s="167" t="s">
        <v>362</v>
      </c>
      <c r="F28" s="167" t="s">
        <v>140</v>
      </c>
      <c r="G28" s="167">
        <v>0</v>
      </c>
      <c r="H28" s="167" t="s">
        <v>366</v>
      </c>
      <c r="I28" s="10">
        <v>1</v>
      </c>
      <c r="J28" s="167"/>
      <c r="K28" s="167" t="s">
        <v>208</v>
      </c>
      <c r="L28" s="10" t="s">
        <v>98</v>
      </c>
      <c r="M28" s="176" t="s">
        <v>97</v>
      </c>
      <c r="N28" s="167"/>
      <c r="O28" s="167"/>
      <c r="P28" s="167"/>
      <c r="Q28" s="176"/>
      <c r="R28" s="176"/>
      <c r="S28" s="167" t="s">
        <v>381</v>
      </c>
      <c r="T28" s="167"/>
      <c r="U28" s="167"/>
      <c r="V28" s="167" t="s">
        <v>381</v>
      </c>
    </row>
    <row r="29" s="159" customFormat="1" ht="34.5" customHeight="1" spans="1:22">
      <c r="A29" s="168"/>
      <c r="B29" s="169"/>
      <c r="C29" s="172" t="s">
        <v>211</v>
      </c>
      <c r="D29" s="167" t="s">
        <v>136</v>
      </c>
      <c r="E29" s="167" t="s">
        <v>362</v>
      </c>
      <c r="F29" s="167" t="s">
        <v>145</v>
      </c>
      <c r="G29" s="167">
        <v>0</v>
      </c>
      <c r="H29" s="167" t="s">
        <v>366</v>
      </c>
      <c r="I29" s="10">
        <v>1</v>
      </c>
      <c r="J29" s="186"/>
      <c r="K29" s="167" t="s">
        <v>211</v>
      </c>
      <c r="L29" s="10" t="s">
        <v>114</v>
      </c>
      <c r="M29" s="10" t="s">
        <v>186</v>
      </c>
      <c r="N29" s="10" t="s">
        <v>382</v>
      </c>
      <c r="O29" s="167"/>
      <c r="P29" s="167"/>
      <c r="Q29" s="176"/>
      <c r="R29" s="176"/>
      <c r="S29" s="167"/>
      <c r="T29" s="167"/>
      <c r="U29" s="167"/>
      <c r="V29" s="200" t="s">
        <v>383</v>
      </c>
    </row>
    <row r="30" s="159" customFormat="1" ht="34.5" customHeight="1" spans="1:22">
      <c r="A30" s="168"/>
      <c r="B30" s="169"/>
      <c r="C30" s="172" t="s">
        <v>214</v>
      </c>
      <c r="D30" s="167" t="s">
        <v>136</v>
      </c>
      <c r="E30" s="167" t="s">
        <v>362</v>
      </c>
      <c r="F30" s="167" t="s">
        <v>145</v>
      </c>
      <c r="G30" s="167">
        <v>0</v>
      </c>
      <c r="H30" s="167" t="s">
        <v>366</v>
      </c>
      <c r="I30" s="10">
        <v>1</v>
      </c>
      <c r="J30" s="167"/>
      <c r="K30" s="167" t="s">
        <v>214</v>
      </c>
      <c r="L30" s="10" t="s">
        <v>119</v>
      </c>
      <c r="M30" s="10" t="s">
        <v>193</v>
      </c>
      <c r="N30" s="10" t="s">
        <v>384</v>
      </c>
      <c r="O30" s="167"/>
      <c r="P30" s="167"/>
      <c r="Q30" s="176"/>
      <c r="R30" s="176"/>
      <c r="S30" s="167" t="s">
        <v>385</v>
      </c>
      <c r="T30" s="167"/>
      <c r="U30" s="167"/>
      <c r="V30" s="200" t="s">
        <v>386</v>
      </c>
    </row>
    <row r="31" s="159" customFormat="1" ht="34.5" customHeight="1" spans="1:22">
      <c r="A31" s="168"/>
      <c r="B31" s="169"/>
      <c r="C31" s="172" t="s">
        <v>135</v>
      </c>
      <c r="D31" s="167" t="s">
        <v>136</v>
      </c>
      <c r="E31" s="167" t="s">
        <v>362</v>
      </c>
      <c r="F31" s="167" t="s">
        <v>137</v>
      </c>
      <c r="G31" s="327" t="s">
        <v>79</v>
      </c>
      <c r="H31" s="167" t="s">
        <v>135</v>
      </c>
      <c r="I31" s="187"/>
      <c r="J31" s="167"/>
      <c r="K31" s="167"/>
      <c r="L31" s="167" t="s">
        <v>135</v>
      </c>
      <c r="M31" s="167"/>
      <c r="N31" s="167"/>
      <c r="O31" s="167"/>
      <c r="P31" s="167"/>
      <c r="Q31" s="167"/>
      <c r="R31" s="167"/>
      <c r="S31" s="167"/>
      <c r="T31" s="167"/>
      <c r="U31" s="167"/>
      <c r="V31" s="167" t="s">
        <v>387</v>
      </c>
    </row>
    <row r="32" s="159" customFormat="1" ht="34.5" customHeight="1" spans="1:22">
      <c r="A32" s="173"/>
      <c r="B32" s="170"/>
      <c r="C32" s="172" t="s">
        <v>139</v>
      </c>
      <c r="D32" s="167" t="s">
        <v>136</v>
      </c>
      <c r="E32" s="167" t="s">
        <v>362</v>
      </c>
      <c r="F32" s="167" t="s">
        <v>140</v>
      </c>
      <c r="G32" s="167">
        <v>0</v>
      </c>
      <c r="H32" s="167" t="s">
        <v>139</v>
      </c>
      <c r="I32" s="187">
        <v>0</v>
      </c>
      <c r="J32" s="167"/>
      <c r="K32" s="167" t="s">
        <v>139</v>
      </c>
      <c r="L32" s="167" t="s">
        <v>139</v>
      </c>
      <c r="M32" s="167"/>
      <c r="N32" s="167"/>
      <c r="O32" s="167"/>
      <c r="P32" s="167"/>
      <c r="Q32" s="167"/>
      <c r="R32" s="167"/>
      <c r="S32" s="167"/>
      <c r="T32" s="167"/>
      <c r="U32" s="167"/>
      <c r="V32" s="189" t="s">
        <v>388</v>
      </c>
    </row>
    <row r="33" s="159" customFormat="1" ht="34.5" customHeight="1" spans="1:22">
      <c r="A33" s="165" t="s">
        <v>389</v>
      </c>
      <c r="B33" s="166" t="s">
        <v>217</v>
      </c>
      <c r="C33" s="172" t="s">
        <v>218</v>
      </c>
      <c r="D33" s="174" t="s">
        <v>78</v>
      </c>
      <c r="E33" s="174"/>
      <c r="F33" s="327" t="s">
        <v>79</v>
      </c>
      <c r="G33" s="327" t="s">
        <v>79</v>
      </c>
      <c r="H33" s="167" t="s">
        <v>366</v>
      </c>
      <c r="I33" s="187">
        <v>0</v>
      </c>
      <c r="J33" s="167"/>
      <c r="K33" s="167" t="s">
        <v>218</v>
      </c>
      <c r="L33" s="10" t="s">
        <v>219</v>
      </c>
      <c r="M33" s="167"/>
      <c r="N33" s="167"/>
      <c r="O33" s="167"/>
      <c r="P33" s="167"/>
      <c r="Q33" s="167"/>
      <c r="R33" s="190"/>
      <c r="S33" s="189"/>
      <c r="T33" s="189"/>
      <c r="U33" s="189"/>
      <c r="V33" s="167" t="s">
        <v>390</v>
      </c>
    </row>
    <row r="34" s="159" customFormat="1" ht="51" customHeight="1" spans="1:22">
      <c r="A34" s="168"/>
      <c r="B34" s="169"/>
      <c r="C34" s="172" t="s">
        <v>223</v>
      </c>
      <c r="D34" s="167" t="s">
        <v>136</v>
      </c>
      <c r="E34" s="167" t="s">
        <v>362</v>
      </c>
      <c r="F34" s="167" t="s">
        <v>145</v>
      </c>
      <c r="G34" s="167">
        <v>0</v>
      </c>
      <c r="H34" s="167" t="s">
        <v>366</v>
      </c>
      <c r="I34" s="187">
        <v>0</v>
      </c>
      <c r="J34" s="167"/>
      <c r="K34" s="167" t="s">
        <v>223</v>
      </c>
      <c r="L34" s="176" t="s">
        <v>225</v>
      </c>
      <c r="M34" s="167"/>
      <c r="N34" s="167"/>
      <c r="O34" s="167"/>
      <c r="P34" s="189"/>
      <c r="Q34" s="167"/>
      <c r="R34" s="176"/>
      <c r="S34" s="189"/>
      <c r="T34" s="189"/>
      <c r="U34" s="189"/>
      <c r="V34" s="167"/>
    </row>
    <row r="35" s="159" customFormat="1" ht="34.5" customHeight="1" spans="1:22">
      <c r="A35" s="168"/>
      <c r="B35" s="169"/>
      <c r="C35" s="172" t="s">
        <v>228</v>
      </c>
      <c r="D35" s="167" t="s">
        <v>136</v>
      </c>
      <c r="E35" s="167" t="s">
        <v>362</v>
      </c>
      <c r="F35" s="167" t="s">
        <v>145</v>
      </c>
      <c r="G35" s="167">
        <v>0</v>
      </c>
      <c r="H35" s="167" t="s">
        <v>366</v>
      </c>
      <c r="I35" s="187">
        <v>0</v>
      </c>
      <c r="J35" s="167"/>
      <c r="K35" s="167" t="s">
        <v>228</v>
      </c>
      <c r="L35" s="176" t="s">
        <v>230</v>
      </c>
      <c r="M35" s="10" t="s">
        <v>231</v>
      </c>
      <c r="N35" s="190"/>
      <c r="O35" s="190"/>
      <c r="P35" s="189"/>
      <c r="Q35" s="190"/>
      <c r="R35" s="176"/>
      <c r="S35" s="189"/>
      <c r="T35" s="189"/>
      <c r="U35" s="189"/>
      <c r="V35" s="167"/>
    </row>
    <row r="36" s="159" customFormat="1" ht="34.5" customHeight="1" spans="1:22">
      <c r="A36" s="168"/>
      <c r="B36" s="169"/>
      <c r="C36" s="172" t="s">
        <v>234</v>
      </c>
      <c r="D36" s="167" t="s">
        <v>136</v>
      </c>
      <c r="E36" s="167" t="s">
        <v>362</v>
      </c>
      <c r="F36" s="167" t="s">
        <v>145</v>
      </c>
      <c r="G36" s="167">
        <v>0</v>
      </c>
      <c r="H36" s="167" t="s">
        <v>366</v>
      </c>
      <c r="I36" s="187">
        <v>0</v>
      </c>
      <c r="J36" s="167"/>
      <c r="K36" s="167" t="s">
        <v>234</v>
      </c>
      <c r="L36" s="176" t="s">
        <v>236</v>
      </c>
      <c r="M36" s="10" t="s">
        <v>237</v>
      </c>
      <c r="N36" s="190"/>
      <c r="O36" s="190"/>
      <c r="P36" s="6"/>
      <c r="Q36" s="190"/>
      <c r="R36" s="176"/>
      <c r="S36" s="189"/>
      <c r="T36" s="189"/>
      <c r="U36" s="189"/>
      <c r="V36" s="167"/>
    </row>
    <row r="37" s="159" customFormat="1" ht="34.5" customHeight="1" spans="1:22">
      <c r="A37" s="168"/>
      <c r="B37" s="169"/>
      <c r="C37" s="172" t="s">
        <v>240</v>
      </c>
      <c r="D37" s="167" t="s">
        <v>136</v>
      </c>
      <c r="E37" s="167" t="s">
        <v>362</v>
      </c>
      <c r="F37" s="167" t="s">
        <v>145</v>
      </c>
      <c r="G37" s="167">
        <v>0</v>
      </c>
      <c r="H37" s="167" t="s">
        <v>366</v>
      </c>
      <c r="I37" s="187">
        <v>0</v>
      </c>
      <c r="J37" s="167"/>
      <c r="K37" s="167" t="s">
        <v>240</v>
      </c>
      <c r="L37" s="176" t="s">
        <v>242</v>
      </c>
      <c r="M37" s="191" t="s">
        <v>243</v>
      </c>
      <c r="N37" s="190"/>
      <c r="O37" s="190"/>
      <c r="P37" s="6"/>
      <c r="Q37" s="190"/>
      <c r="R37" s="176"/>
      <c r="S37" s="189"/>
      <c r="T37" s="189"/>
      <c r="U37" s="189"/>
      <c r="V37" s="167"/>
    </row>
    <row r="38" s="159" customFormat="1" ht="21.75" customHeight="1" spans="1:22">
      <c r="A38" s="168"/>
      <c r="B38" s="169"/>
      <c r="C38" s="172" t="s">
        <v>246</v>
      </c>
      <c r="D38" s="167" t="s">
        <v>136</v>
      </c>
      <c r="E38" s="167" t="s">
        <v>362</v>
      </c>
      <c r="F38" s="167" t="s">
        <v>145</v>
      </c>
      <c r="G38" s="167">
        <v>0</v>
      </c>
      <c r="H38" s="167" t="s">
        <v>366</v>
      </c>
      <c r="I38" s="187">
        <v>0</v>
      </c>
      <c r="J38" s="167"/>
      <c r="K38" s="167" t="s">
        <v>246</v>
      </c>
      <c r="L38" s="176" t="s">
        <v>248</v>
      </c>
      <c r="M38" s="10" t="s">
        <v>249</v>
      </c>
      <c r="N38" s="190"/>
      <c r="O38" s="190"/>
      <c r="P38" s="6"/>
      <c r="Q38" s="190"/>
      <c r="R38" s="176"/>
      <c r="S38" s="189"/>
      <c r="T38" s="189"/>
      <c r="U38" s="189"/>
      <c r="V38" s="167"/>
    </row>
    <row r="39" s="159" customFormat="1" ht="21.75" customHeight="1" spans="1:22">
      <c r="A39" s="168"/>
      <c r="B39" s="169"/>
      <c r="C39" s="172" t="s">
        <v>252</v>
      </c>
      <c r="D39" s="167" t="s">
        <v>136</v>
      </c>
      <c r="E39" s="167" t="s">
        <v>362</v>
      </c>
      <c r="F39" s="167" t="s">
        <v>145</v>
      </c>
      <c r="G39" s="167">
        <v>0</v>
      </c>
      <c r="H39" s="167" t="s">
        <v>366</v>
      </c>
      <c r="I39" s="187">
        <v>0</v>
      </c>
      <c r="J39" s="167"/>
      <c r="K39" s="167" t="s">
        <v>252</v>
      </c>
      <c r="L39" s="176" t="s">
        <v>254</v>
      </c>
      <c r="M39" s="10" t="s">
        <v>255</v>
      </c>
      <c r="N39" s="167"/>
      <c r="O39" s="167"/>
      <c r="P39" s="6"/>
      <c r="Q39" s="190"/>
      <c r="R39" s="176"/>
      <c r="S39" s="189"/>
      <c r="T39" s="189"/>
      <c r="U39" s="189"/>
      <c r="V39" s="201"/>
    </row>
    <row r="40" s="159" customFormat="1" ht="21.75" customHeight="1" spans="1:22">
      <c r="A40" s="168"/>
      <c r="B40" s="169"/>
      <c r="C40" s="172" t="s">
        <v>258</v>
      </c>
      <c r="D40" s="167" t="s">
        <v>136</v>
      </c>
      <c r="E40" s="167" t="s">
        <v>362</v>
      </c>
      <c r="F40" s="167" t="s">
        <v>145</v>
      </c>
      <c r="G40" s="167">
        <v>0</v>
      </c>
      <c r="H40" s="167" t="s">
        <v>366</v>
      </c>
      <c r="I40" s="187">
        <v>0</v>
      </c>
      <c r="J40" s="167"/>
      <c r="K40" s="167" t="s">
        <v>258</v>
      </c>
      <c r="L40" s="176" t="s">
        <v>260</v>
      </c>
      <c r="M40" s="10" t="s">
        <v>261</v>
      </c>
      <c r="N40" s="176"/>
      <c r="O40" s="167"/>
      <c r="P40" s="6"/>
      <c r="Q40" s="190"/>
      <c r="R40" s="176"/>
      <c r="S40" s="189"/>
      <c r="T40" s="189"/>
      <c r="U40" s="189"/>
      <c r="V40" s="167"/>
    </row>
    <row r="41" s="159" customFormat="1" ht="21.75" customHeight="1" spans="1:22">
      <c r="A41" s="168"/>
      <c r="B41" s="169"/>
      <c r="C41" s="172" t="s">
        <v>264</v>
      </c>
      <c r="D41" s="167" t="s">
        <v>136</v>
      </c>
      <c r="E41" s="167" t="s">
        <v>362</v>
      </c>
      <c r="F41" s="167" t="s">
        <v>140</v>
      </c>
      <c r="G41" s="167">
        <v>0</v>
      </c>
      <c r="H41" s="167" t="s">
        <v>366</v>
      </c>
      <c r="I41" s="187">
        <v>0</v>
      </c>
      <c r="J41" s="167"/>
      <c r="K41" s="167" t="s">
        <v>264</v>
      </c>
      <c r="L41" s="176" t="s">
        <v>266</v>
      </c>
      <c r="M41" s="167" t="s">
        <v>173</v>
      </c>
      <c r="N41" s="167" t="s">
        <v>267</v>
      </c>
      <c r="O41" s="10" t="s">
        <v>268</v>
      </c>
      <c r="P41" s="167"/>
      <c r="Q41" s="202"/>
      <c r="R41" s="176"/>
      <c r="S41" s="203"/>
      <c r="T41" s="203"/>
      <c r="U41" s="203"/>
      <c r="V41" s="204" t="s">
        <v>391</v>
      </c>
    </row>
    <row r="42" s="159" customFormat="1" ht="21.75" customHeight="1" spans="1:22">
      <c r="A42" s="168"/>
      <c r="B42" s="169"/>
      <c r="C42" s="172" t="s">
        <v>272</v>
      </c>
      <c r="D42" s="167" t="s">
        <v>136</v>
      </c>
      <c r="E42" s="167" t="s">
        <v>362</v>
      </c>
      <c r="F42" s="167" t="s">
        <v>145</v>
      </c>
      <c r="G42" s="167">
        <v>0</v>
      </c>
      <c r="H42" s="167" t="s">
        <v>366</v>
      </c>
      <c r="I42" s="187">
        <v>0</v>
      </c>
      <c r="J42" s="167"/>
      <c r="K42" s="167" t="s">
        <v>272</v>
      </c>
      <c r="L42" s="176" t="s">
        <v>274</v>
      </c>
      <c r="M42" s="167" t="s">
        <v>153</v>
      </c>
      <c r="N42" s="167" t="s">
        <v>275</v>
      </c>
      <c r="O42" s="10" t="s">
        <v>268</v>
      </c>
      <c r="P42" s="6"/>
      <c r="Q42" s="202"/>
      <c r="R42" s="176"/>
      <c r="S42" s="203"/>
      <c r="T42" s="203"/>
      <c r="U42" s="203"/>
      <c r="V42" s="205"/>
    </row>
    <row r="43" s="159" customFormat="1" ht="21.75" customHeight="1" spans="1:22">
      <c r="A43" s="168"/>
      <c r="B43" s="169"/>
      <c r="C43" s="172" t="s">
        <v>278</v>
      </c>
      <c r="D43" s="167" t="s">
        <v>136</v>
      </c>
      <c r="E43" s="167" t="s">
        <v>362</v>
      </c>
      <c r="F43" s="167" t="s">
        <v>145</v>
      </c>
      <c r="G43" s="167">
        <v>0</v>
      </c>
      <c r="H43" s="167" t="s">
        <v>366</v>
      </c>
      <c r="I43" s="187">
        <v>0</v>
      </c>
      <c r="J43" s="167"/>
      <c r="K43" s="167" t="s">
        <v>278</v>
      </c>
      <c r="L43" s="176" t="s">
        <v>280</v>
      </c>
      <c r="M43" s="167" t="s">
        <v>147</v>
      </c>
      <c r="N43" s="167" t="s">
        <v>281</v>
      </c>
      <c r="O43" s="167"/>
      <c r="P43" s="6"/>
      <c r="Q43" s="202"/>
      <c r="R43" s="176"/>
      <c r="S43" s="203"/>
      <c r="T43" s="203"/>
      <c r="U43" s="203"/>
      <c r="V43" s="205"/>
    </row>
    <row r="44" s="159" customFormat="1" ht="30" customHeight="1" spans="1:22">
      <c r="A44" s="168"/>
      <c r="B44" s="169"/>
      <c r="C44" s="172" t="s">
        <v>284</v>
      </c>
      <c r="D44" s="167" t="s">
        <v>136</v>
      </c>
      <c r="E44" s="167" t="s">
        <v>362</v>
      </c>
      <c r="F44" s="167" t="s">
        <v>145</v>
      </c>
      <c r="G44" s="167">
        <v>0</v>
      </c>
      <c r="H44" s="167" t="s">
        <v>366</v>
      </c>
      <c r="I44" s="187">
        <v>0</v>
      </c>
      <c r="J44" s="167"/>
      <c r="K44" s="167" t="s">
        <v>284</v>
      </c>
      <c r="L44" s="176" t="s">
        <v>286</v>
      </c>
      <c r="M44" s="167" t="s">
        <v>168</v>
      </c>
      <c r="N44" s="167" t="s">
        <v>287</v>
      </c>
      <c r="O44" s="167"/>
      <c r="P44" s="6"/>
      <c r="Q44" s="202"/>
      <c r="R44" s="176"/>
      <c r="S44" s="203"/>
      <c r="T44" s="203"/>
      <c r="U44" s="203"/>
      <c r="V44" s="206"/>
    </row>
    <row r="45" s="159" customFormat="1" ht="28.5" customHeight="1" spans="1:22">
      <c r="A45" s="168"/>
      <c r="B45" s="169"/>
      <c r="C45" s="172" t="s">
        <v>289</v>
      </c>
      <c r="D45" s="167" t="s">
        <v>136</v>
      </c>
      <c r="E45" s="167" t="s">
        <v>362</v>
      </c>
      <c r="F45" s="167" t="s">
        <v>145</v>
      </c>
      <c r="G45" s="167">
        <v>0</v>
      </c>
      <c r="H45" s="167" t="s">
        <v>366</v>
      </c>
      <c r="I45" s="187">
        <v>0</v>
      </c>
      <c r="J45" s="167"/>
      <c r="K45" s="167" t="s">
        <v>289</v>
      </c>
      <c r="L45" s="176" t="s">
        <v>291</v>
      </c>
      <c r="M45" s="167" t="s">
        <v>267</v>
      </c>
      <c r="N45" s="167"/>
      <c r="O45" s="10" t="s">
        <v>268</v>
      </c>
      <c r="P45" s="6"/>
      <c r="Q45" s="207"/>
      <c r="R45" s="176"/>
      <c r="S45" s="189"/>
      <c r="T45" s="189"/>
      <c r="U45" s="189"/>
      <c r="V45" s="167" t="s">
        <v>392</v>
      </c>
    </row>
    <row r="46" s="159" customFormat="1" ht="15" spans="1:22">
      <c r="A46" s="168"/>
      <c r="B46" s="169"/>
      <c r="C46" s="172" t="s">
        <v>294</v>
      </c>
      <c r="D46" s="167" t="s">
        <v>136</v>
      </c>
      <c r="E46" s="167" t="s">
        <v>362</v>
      </c>
      <c r="F46" s="167" t="s">
        <v>145</v>
      </c>
      <c r="G46" s="167">
        <v>0</v>
      </c>
      <c r="H46" s="167" t="s">
        <v>366</v>
      </c>
      <c r="I46" s="187">
        <v>0</v>
      </c>
      <c r="J46" s="167"/>
      <c r="K46" s="167" t="s">
        <v>294</v>
      </c>
      <c r="L46" s="167" t="s">
        <v>275</v>
      </c>
      <c r="M46" s="167"/>
      <c r="N46" s="167"/>
      <c r="O46" s="10" t="s">
        <v>268</v>
      </c>
      <c r="P46" s="176"/>
      <c r="Q46" s="202"/>
      <c r="R46" s="176"/>
      <c r="S46" s="189"/>
      <c r="T46" s="189"/>
      <c r="U46" s="189"/>
      <c r="V46" s="167" t="s">
        <v>393</v>
      </c>
    </row>
    <row r="47" s="159" customFormat="1" ht="21.75" customHeight="1" spans="1:22">
      <c r="A47" s="168"/>
      <c r="B47" s="169"/>
      <c r="C47" s="172" t="s">
        <v>298</v>
      </c>
      <c r="D47" s="167" t="s">
        <v>136</v>
      </c>
      <c r="E47" s="167" t="s">
        <v>362</v>
      </c>
      <c r="F47" s="167" t="s">
        <v>145</v>
      </c>
      <c r="G47" s="167">
        <v>0</v>
      </c>
      <c r="H47" s="167" t="s">
        <v>366</v>
      </c>
      <c r="I47" s="187">
        <v>0</v>
      </c>
      <c r="J47" s="167"/>
      <c r="K47" s="167" t="s">
        <v>298</v>
      </c>
      <c r="L47" s="167" t="s">
        <v>281</v>
      </c>
      <c r="M47" s="167"/>
      <c r="N47" s="167"/>
      <c r="O47" s="6"/>
      <c r="P47" s="167"/>
      <c r="Q47" s="202"/>
      <c r="R47" s="176"/>
      <c r="S47" s="189"/>
      <c r="T47" s="189"/>
      <c r="U47" s="189"/>
      <c r="V47" s="167" t="s">
        <v>394</v>
      </c>
    </row>
    <row r="48" s="159" customFormat="1" ht="21.75" customHeight="1" spans="1:22">
      <c r="A48" s="168"/>
      <c r="B48" s="169"/>
      <c r="C48" s="172" t="s">
        <v>302</v>
      </c>
      <c r="D48" s="167" t="s">
        <v>136</v>
      </c>
      <c r="E48" s="167" t="s">
        <v>362</v>
      </c>
      <c r="F48" s="167" t="s">
        <v>145</v>
      </c>
      <c r="G48" s="167">
        <v>0</v>
      </c>
      <c r="H48" s="167" t="s">
        <v>366</v>
      </c>
      <c r="I48" s="187">
        <v>0</v>
      </c>
      <c r="J48" s="167"/>
      <c r="K48" s="167" t="s">
        <v>302</v>
      </c>
      <c r="L48" s="167" t="s">
        <v>287</v>
      </c>
      <c r="M48" s="6"/>
      <c r="N48" s="167"/>
      <c r="O48" s="167"/>
      <c r="P48" s="167"/>
      <c r="Q48" s="202"/>
      <c r="R48" s="176"/>
      <c r="S48" s="189"/>
      <c r="T48" s="189"/>
      <c r="U48" s="189"/>
      <c r="V48" s="167" t="s">
        <v>395</v>
      </c>
    </row>
    <row r="49" s="159" customFormat="1" ht="21.75" customHeight="1" spans="1:22">
      <c r="A49" s="168"/>
      <c r="B49" s="169"/>
      <c r="C49" s="172" t="s">
        <v>306</v>
      </c>
      <c r="D49" s="167" t="s">
        <v>136</v>
      </c>
      <c r="E49" s="167" t="s">
        <v>362</v>
      </c>
      <c r="F49" s="167" t="s">
        <v>137</v>
      </c>
      <c r="G49" s="167">
        <v>0</v>
      </c>
      <c r="H49" s="167" t="s">
        <v>366</v>
      </c>
      <c r="I49" s="187">
        <v>0</v>
      </c>
      <c r="J49" s="167"/>
      <c r="K49" s="167" t="s">
        <v>306</v>
      </c>
      <c r="L49" s="177" t="s">
        <v>100</v>
      </c>
      <c r="M49" s="192" t="s">
        <v>231</v>
      </c>
      <c r="N49" s="167"/>
      <c r="O49" s="190"/>
      <c r="P49" s="167"/>
      <c r="Q49" s="202"/>
      <c r="R49" s="176"/>
      <c r="S49" s="189"/>
      <c r="T49" s="189"/>
      <c r="U49" s="189"/>
      <c r="V49" s="167" t="s">
        <v>396</v>
      </c>
    </row>
    <row r="50" s="159" customFormat="1" ht="21.75" customHeight="1" spans="1:22">
      <c r="A50" s="168"/>
      <c r="B50" s="169"/>
      <c r="C50" s="175" t="s">
        <v>311</v>
      </c>
      <c r="D50" s="167" t="s">
        <v>136</v>
      </c>
      <c r="E50" s="166" t="s">
        <v>362</v>
      </c>
      <c r="F50" s="166" t="s">
        <v>137</v>
      </c>
      <c r="G50" s="166">
        <v>0</v>
      </c>
      <c r="H50" s="166" t="s">
        <v>366</v>
      </c>
      <c r="I50" s="193">
        <v>0</v>
      </c>
      <c r="J50" s="166"/>
      <c r="K50" s="166" t="s">
        <v>311</v>
      </c>
      <c r="L50" s="194" t="s">
        <v>93</v>
      </c>
      <c r="M50" s="192" t="s">
        <v>237</v>
      </c>
      <c r="N50" s="167"/>
      <c r="O50" s="190"/>
      <c r="P50" s="167"/>
      <c r="Q50" s="207"/>
      <c r="R50" s="167"/>
      <c r="S50" s="189"/>
      <c r="T50" s="189"/>
      <c r="U50" s="189"/>
      <c r="V50" s="167" t="s">
        <v>396</v>
      </c>
    </row>
    <row r="51" s="159" customFormat="1" ht="21.75" customHeight="1" spans="1:22">
      <c r="A51" s="168"/>
      <c r="B51" s="169"/>
      <c r="C51" s="167" t="s">
        <v>314</v>
      </c>
      <c r="D51" s="167" t="s">
        <v>136</v>
      </c>
      <c r="E51" s="167" t="s">
        <v>362</v>
      </c>
      <c r="F51" s="167" t="s">
        <v>137</v>
      </c>
      <c r="G51" s="167">
        <v>0</v>
      </c>
      <c r="H51" s="167" t="s">
        <v>366</v>
      </c>
      <c r="I51" s="187">
        <v>0</v>
      </c>
      <c r="J51" s="167"/>
      <c r="K51" s="167" t="s">
        <v>314</v>
      </c>
      <c r="L51" s="167" t="s">
        <v>231</v>
      </c>
      <c r="M51" s="195"/>
      <c r="N51" s="167"/>
      <c r="O51" s="167"/>
      <c r="P51" s="167"/>
      <c r="Q51" s="202"/>
      <c r="R51" s="190"/>
      <c r="S51" s="189"/>
      <c r="T51" s="189"/>
      <c r="U51" s="189"/>
      <c r="V51" s="167"/>
    </row>
    <row r="52" s="159" customFormat="1" ht="21.75" customHeight="1" spans="1:22">
      <c r="A52" s="168"/>
      <c r="B52" s="169"/>
      <c r="C52" s="167" t="s">
        <v>316</v>
      </c>
      <c r="D52" s="167" t="s">
        <v>136</v>
      </c>
      <c r="E52" s="167" t="s">
        <v>362</v>
      </c>
      <c r="F52" s="167" t="s">
        <v>137</v>
      </c>
      <c r="G52" s="167">
        <v>0</v>
      </c>
      <c r="H52" s="167" t="s">
        <v>366</v>
      </c>
      <c r="I52" s="187">
        <v>0</v>
      </c>
      <c r="J52" s="167"/>
      <c r="K52" s="167" t="s">
        <v>316</v>
      </c>
      <c r="L52" s="167" t="s">
        <v>237</v>
      </c>
      <c r="M52" s="191" t="s">
        <v>243</v>
      </c>
      <c r="N52" s="167"/>
      <c r="O52" s="167"/>
      <c r="P52" s="167"/>
      <c r="Q52" s="202"/>
      <c r="R52" s="190"/>
      <c r="S52" s="189"/>
      <c r="T52" s="189"/>
      <c r="U52" s="189"/>
      <c r="V52" s="167"/>
    </row>
    <row r="53" s="159" customFormat="1" ht="21.75" customHeight="1" spans="1:22">
      <c r="A53" s="168"/>
      <c r="B53" s="169"/>
      <c r="C53" s="176" t="s">
        <v>318</v>
      </c>
      <c r="D53" s="174" t="s">
        <v>78</v>
      </c>
      <c r="E53" s="174"/>
      <c r="F53" s="327" t="s">
        <v>79</v>
      </c>
      <c r="G53" s="327" t="s">
        <v>79</v>
      </c>
      <c r="H53" s="167" t="s">
        <v>366</v>
      </c>
      <c r="I53" s="187">
        <v>0</v>
      </c>
      <c r="J53" s="167"/>
      <c r="K53" s="167" t="s">
        <v>318</v>
      </c>
      <c r="L53" s="10" t="s">
        <v>261</v>
      </c>
      <c r="M53" s="6"/>
      <c r="N53" s="167"/>
      <c r="O53" s="167"/>
      <c r="P53" s="167"/>
      <c r="Q53" s="208"/>
      <c r="R53" s="190"/>
      <c r="S53" s="189"/>
      <c r="T53" s="189"/>
      <c r="U53" s="189"/>
      <c r="V53" s="167" t="s">
        <v>397</v>
      </c>
    </row>
    <row r="54" s="159" customFormat="1" ht="21.75" customHeight="1" spans="1:22">
      <c r="A54" s="168"/>
      <c r="B54" s="169"/>
      <c r="C54" s="167" t="s">
        <v>319</v>
      </c>
      <c r="D54" s="167"/>
      <c r="E54" s="167" t="s">
        <v>362</v>
      </c>
      <c r="F54" s="167" t="s">
        <v>145</v>
      </c>
      <c r="G54" s="167">
        <v>0</v>
      </c>
      <c r="H54" s="167"/>
      <c r="I54" s="187">
        <v>0</v>
      </c>
      <c r="J54" s="167"/>
      <c r="K54" s="167" t="s">
        <v>319</v>
      </c>
      <c r="L54" s="196" t="s">
        <v>249</v>
      </c>
      <c r="M54" s="197"/>
      <c r="N54" s="177"/>
      <c r="O54" s="177"/>
      <c r="P54" s="177"/>
      <c r="Q54" s="208"/>
      <c r="R54" s="190"/>
      <c r="S54" s="189"/>
      <c r="T54" s="189"/>
      <c r="U54" s="189"/>
      <c r="V54" s="167"/>
    </row>
    <row r="55" s="159" customFormat="1" ht="21.75" customHeight="1" spans="1:22">
      <c r="A55" s="168"/>
      <c r="B55" s="170"/>
      <c r="C55" s="167" t="s">
        <v>320</v>
      </c>
      <c r="D55" s="167"/>
      <c r="E55" s="167" t="s">
        <v>362</v>
      </c>
      <c r="F55" s="167" t="s">
        <v>145</v>
      </c>
      <c r="G55" s="167">
        <v>0</v>
      </c>
      <c r="H55" s="167"/>
      <c r="I55" s="187">
        <v>0</v>
      </c>
      <c r="J55" s="167"/>
      <c r="K55" s="167" t="s">
        <v>320</v>
      </c>
      <c r="L55" s="196" t="s">
        <v>255</v>
      </c>
      <c r="M55" s="197"/>
      <c r="N55" s="177"/>
      <c r="O55" s="177"/>
      <c r="P55" s="177"/>
      <c r="Q55" s="208"/>
      <c r="R55" s="190"/>
      <c r="S55" s="189"/>
      <c r="T55" s="189"/>
      <c r="U55" s="189"/>
      <c r="V55" s="167"/>
    </row>
    <row r="56" s="159" customFormat="1" ht="18.75" customHeight="1" spans="1:22">
      <c r="A56" s="168"/>
      <c r="B56" s="166" t="s">
        <v>398</v>
      </c>
      <c r="C56" s="167" t="s">
        <v>399</v>
      </c>
      <c r="D56" s="167"/>
      <c r="E56" s="167"/>
      <c r="F56" s="167"/>
      <c r="G56" s="167"/>
      <c r="H56" s="167"/>
      <c r="I56" s="167"/>
      <c r="J56" s="167"/>
      <c r="K56" s="170" t="s">
        <v>399</v>
      </c>
      <c r="L56" s="170"/>
      <c r="M56" s="177"/>
      <c r="N56" s="177"/>
      <c r="O56" s="177"/>
      <c r="P56" s="177"/>
      <c r="Q56" s="202"/>
      <c r="R56" s="190"/>
      <c r="S56" s="189"/>
      <c r="T56" s="189"/>
      <c r="U56" s="189"/>
      <c r="V56" s="167" t="s">
        <v>400</v>
      </c>
    </row>
    <row r="57" s="159" customFormat="1" ht="18.75" customHeight="1" spans="1:22">
      <c r="A57" s="168"/>
      <c r="B57" s="169"/>
      <c r="C57" s="167" t="s">
        <v>400</v>
      </c>
      <c r="D57" s="167"/>
      <c r="E57" s="167"/>
      <c r="F57" s="167"/>
      <c r="G57" s="167"/>
      <c r="H57" s="167"/>
      <c r="I57" s="167"/>
      <c r="J57" s="167"/>
      <c r="K57" s="167" t="s">
        <v>400</v>
      </c>
      <c r="L57" s="167"/>
      <c r="M57" s="177"/>
      <c r="N57" s="177"/>
      <c r="O57" s="177"/>
      <c r="P57" s="177"/>
      <c r="Q57" s="209"/>
      <c r="R57" s="167"/>
      <c r="S57" s="189"/>
      <c r="T57" s="189"/>
      <c r="U57" s="189"/>
      <c r="V57" s="167" t="s">
        <v>401</v>
      </c>
    </row>
    <row r="58" s="159" customFormat="1" ht="18.75" customHeight="1" spans="1:22">
      <c r="A58" s="168"/>
      <c r="B58" s="169"/>
      <c r="C58" s="177" t="s">
        <v>401</v>
      </c>
      <c r="D58" s="177"/>
      <c r="E58" s="170"/>
      <c r="F58" s="177"/>
      <c r="G58" s="177"/>
      <c r="H58" s="177"/>
      <c r="I58" s="177"/>
      <c r="J58" s="177"/>
      <c r="K58" s="177" t="s">
        <v>401</v>
      </c>
      <c r="L58" s="177"/>
      <c r="M58" s="177"/>
      <c r="N58" s="177"/>
      <c r="O58" s="177"/>
      <c r="P58" s="177"/>
      <c r="Q58" s="209"/>
      <c r="R58" s="167"/>
      <c r="S58" s="189"/>
      <c r="T58" s="189"/>
      <c r="U58" s="189"/>
      <c r="V58" s="167" t="s">
        <v>402</v>
      </c>
    </row>
    <row r="59" s="159" customFormat="1" ht="18.75" customHeight="1" spans="1:22">
      <c r="A59" s="168"/>
      <c r="B59" s="170"/>
      <c r="C59" s="172" t="s">
        <v>403</v>
      </c>
      <c r="D59" s="177"/>
      <c r="E59" s="167"/>
      <c r="F59" s="177"/>
      <c r="G59" s="177"/>
      <c r="H59" s="177"/>
      <c r="I59" s="177"/>
      <c r="J59" s="177"/>
      <c r="K59" s="177" t="s">
        <v>403</v>
      </c>
      <c r="L59" s="177"/>
      <c r="M59" s="177"/>
      <c r="N59" s="177"/>
      <c r="O59" s="177"/>
      <c r="P59" s="177"/>
      <c r="Q59" s="209"/>
      <c r="R59" s="167"/>
      <c r="S59" s="189"/>
      <c r="T59" s="189"/>
      <c r="U59" s="189"/>
      <c r="V59" s="167" t="s">
        <v>402</v>
      </c>
    </row>
    <row r="60" s="159" customFormat="1" ht="19.5" customHeight="1" spans="1:22">
      <c r="A60" s="168"/>
      <c r="B60" s="178" t="s">
        <v>404</v>
      </c>
      <c r="C60" s="179" t="s">
        <v>405</v>
      </c>
      <c r="D60" s="180" t="s">
        <v>406</v>
      </c>
      <c r="E60" s="176"/>
      <c r="F60" s="179" t="s">
        <v>145</v>
      </c>
      <c r="G60" s="179"/>
      <c r="H60" s="179"/>
      <c r="I60" s="176">
        <v>1</v>
      </c>
      <c r="J60" s="179"/>
      <c r="K60" s="179" t="s">
        <v>407</v>
      </c>
      <c r="L60" s="176" t="s">
        <v>408</v>
      </c>
      <c r="M60" s="10" t="s">
        <v>90</v>
      </c>
      <c r="N60" s="10" t="s">
        <v>249</v>
      </c>
      <c r="O60" s="177"/>
      <c r="P60" s="177"/>
      <c r="Q60" s="209"/>
      <c r="R60" s="167"/>
      <c r="S60" s="189"/>
      <c r="T60" s="189"/>
      <c r="U60" s="189"/>
      <c r="V60" s="167" t="s">
        <v>405</v>
      </c>
    </row>
    <row r="61" s="159" customFormat="1" ht="19.5" customHeight="1" spans="1:22">
      <c r="A61" s="168"/>
      <c r="B61" s="181"/>
      <c r="C61" s="179" t="s">
        <v>409</v>
      </c>
      <c r="D61" s="180" t="s">
        <v>406</v>
      </c>
      <c r="E61" s="176"/>
      <c r="F61" s="179" t="s">
        <v>145</v>
      </c>
      <c r="G61" s="179"/>
      <c r="H61" s="179"/>
      <c r="I61" s="198">
        <v>1</v>
      </c>
      <c r="J61" s="179"/>
      <c r="K61" s="179" t="s">
        <v>407</v>
      </c>
      <c r="L61" s="176" t="s">
        <v>410</v>
      </c>
      <c r="M61" s="10" t="s">
        <v>97</v>
      </c>
      <c r="N61" s="10" t="s">
        <v>255</v>
      </c>
      <c r="O61" s="177"/>
      <c r="P61" s="177"/>
      <c r="Q61" s="209"/>
      <c r="R61" s="167"/>
      <c r="S61" s="189"/>
      <c r="T61" s="189"/>
      <c r="U61" s="189"/>
      <c r="V61" s="167" t="s">
        <v>409</v>
      </c>
    </row>
    <row r="62" s="159" customFormat="1" ht="14.15" spans="1:22">
      <c r="A62" s="168"/>
      <c r="B62" s="166" t="s">
        <v>411</v>
      </c>
      <c r="C62" s="177" t="s">
        <v>412</v>
      </c>
      <c r="D62" s="182" t="s">
        <v>406</v>
      </c>
      <c r="E62" s="167"/>
      <c r="F62" s="182"/>
      <c r="G62" s="177"/>
      <c r="H62" s="177"/>
      <c r="I62" s="167">
        <v>1</v>
      </c>
      <c r="J62" s="177"/>
      <c r="K62" s="177" t="s">
        <v>407</v>
      </c>
      <c r="L62" s="177" t="s">
        <v>412</v>
      </c>
      <c r="M62" s="182" t="s">
        <v>325</v>
      </c>
      <c r="N62" s="177"/>
      <c r="O62" s="177"/>
      <c r="P62" s="177"/>
      <c r="Q62" s="209"/>
      <c r="R62" s="167"/>
      <c r="S62" s="167"/>
      <c r="T62" s="167"/>
      <c r="U62" s="167"/>
      <c r="V62" s="167"/>
    </row>
    <row r="63" s="159" customFormat="1" ht="14.15" spans="1:22">
      <c r="A63" s="168"/>
      <c r="B63" s="169"/>
      <c r="C63" s="177" t="s">
        <v>413</v>
      </c>
      <c r="D63" s="182" t="s">
        <v>406</v>
      </c>
      <c r="E63" s="167"/>
      <c r="F63" s="182"/>
      <c r="G63" s="177"/>
      <c r="H63" s="177"/>
      <c r="I63" s="167">
        <v>1</v>
      </c>
      <c r="J63" s="177"/>
      <c r="K63" s="177" t="s">
        <v>407</v>
      </c>
      <c r="L63" s="177" t="s">
        <v>413</v>
      </c>
      <c r="M63" s="182" t="s">
        <v>330</v>
      </c>
      <c r="N63" s="177"/>
      <c r="O63" s="177"/>
      <c r="P63" s="177"/>
      <c r="Q63" s="209"/>
      <c r="R63" s="167"/>
      <c r="S63" s="167"/>
      <c r="T63" s="167"/>
      <c r="U63" s="167"/>
      <c r="V63" s="210"/>
    </row>
    <row r="64" s="159" customFormat="1" ht="14.15" spans="1:22">
      <c r="A64" s="168"/>
      <c r="B64" s="169"/>
      <c r="C64" s="177" t="s">
        <v>414</v>
      </c>
      <c r="D64" s="182" t="s">
        <v>406</v>
      </c>
      <c r="E64" s="167"/>
      <c r="F64" s="182"/>
      <c r="G64" s="177"/>
      <c r="H64" s="177"/>
      <c r="I64" s="167">
        <v>1</v>
      </c>
      <c r="J64" s="177"/>
      <c r="K64" s="177" t="s">
        <v>407</v>
      </c>
      <c r="L64" s="177" t="s">
        <v>414</v>
      </c>
      <c r="M64" s="182" t="s">
        <v>333</v>
      </c>
      <c r="N64" s="177"/>
      <c r="O64" s="177"/>
      <c r="P64" s="177"/>
      <c r="Q64" s="209"/>
      <c r="R64" s="167"/>
      <c r="S64" s="167"/>
      <c r="T64" s="167"/>
      <c r="U64" s="167"/>
      <c r="V64" s="167"/>
    </row>
    <row r="65" s="159" customFormat="1" ht="14.15" spans="1:22">
      <c r="A65" s="168"/>
      <c r="B65" s="169"/>
      <c r="C65" s="177" t="s">
        <v>415</v>
      </c>
      <c r="D65" s="182" t="s">
        <v>406</v>
      </c>
      <c r="E65" s="167"/>
      <c r="F65" s="182"/>
      <c r="G65" s="177"/>
      <c r="H65" s="177"/>
      <c r="I65" s="167">
        <v>1</v>
      </c>
      <c r="J65" s="177"/>
      <c r="K65" s="177" t="s">
        <v>407</v>
      </c>
      <c r="L65" s="177" t="s">
        <v>415</v>
      </c>
      <c r="M65" s="182" t="s">
        <v>336</v>
      </c>
      <c r="N65" s="177"/>
      <c r="O65" s="177"/>
      <c r="P65" s="177"/>
      <c r="Q65" s="209"/>
      <c r="R65" s="167"/>
      <c r="S65" s="167"/>
      <c r="T65" s="167"/>
      <c r="U65" s="167"/>
      <c r="V65" s="210"/>
    </row>
    <row r="66" s="159" customFormat="1" ht="14.15" spans="1:22">
      <c r="A66" s="173"/>
      <c r="B66" s="170"/>
      <c r="C66" s="177" t="s">
        <v>416</v>
      </c>
      <c r="D66" s="182" t="s">
        <v>406</v>
      </c>
      <c r="E66" s="167"/>
      <c r="F66" s="182"/>
      <c r="G66" s="177"/>
      <c r="H66" s="177"/>
      <c r="I66" s="167">
        <v>1</v>
      </c>
      <c r="J66" s="177"/>
      <c r="K66" s="177" t="s">
        <v>407</v>
      </c>
      <c r="L66" s="177" t="s">
        <v>416</v>
      </c>
      <c r="M66" s="182" t="s">
        <v>339</v>
      </c>
      <c r="N66" s="177"/>
      <c r="O66" s="177"/>
      <c r="P66" s="177"/>
      <c r="Q66" s="209"/>
      <c r="R66" s="167"/>
      <c r="S66" s="167"/>
      <c r="T66" s="167"/>
      <c r="U66" s="167"/>
      <c r="V66" s="210"/>
    </row>
    <row r="67" s="159" customFormat="1" spans="2:21">
      <c r="B67" s="211"/>
      <c r="C67" s="211"/>
      <c r="D67" s="211"/>
      <c r="E67" s="211"/>
      <c r="F67" s="212"/>
      <c r="G67" s="211"/>
      <c r="H67" s="211"/>
      <c r="I67" s="211"/>
      <c r="J67" s="211"/>
      <c r="K67" s="211"/>
      <c r="M67" s="211"/>
      <c r="N67" s="211"/>
      <c r="O67" s="211"/>
      <c r="P67" s="211"/>
      <c r="Q67" s="211"/>
      <c r="R67" s="211"/>
      <c r="S67" s="211"/>
      <c r="T67" s="211"/>
      <c r="U67" s="211"/>
    </row>
    <row r="68" s="159" customFormat="1" spans="2:21">
      <c r="B68" s="211"/>
      <c r="C68" s="211"/>
      <c r="D68" s="211"/>
      <c r="E68" s="211"/>
      <c r="F68" s="212"/>
      <c r="G68" s="211"/>
      <c r="H68" s="211"/>
      <c r="I68" s="211"/>
      <c r="J68" s="211"/>
      <c r="K68" s="211"/>
      <c r="M68" s="211"/>
      <c r="N68" s="211"/>
      <c r="O68" s="211"/>
      <c r="P68" s="211"/>
      <c r="Q68" s="211"/>
      <c r="R68" s="211"/>
      <c r="S68" s="211"/>
      <c r="T68" s="211"/>
      <c r="U68" s="211"/>
    </row>
    <row r="69" s="159" customFormat="1" spans="2:21">
      <c r="B69" s="211"/>
      <c r="C69" s="213"/>
      <c r="D69" s="211"/>
      <c r="E69" s="211"/>
      <c r="F69" s="212"/>
      <c r="G69" s="211"/>
      <c r="H69" s="211"/>
      <c r="I69" s="211"/>
      <c r="J69" s="211"/>
      <c r="K69" s="211"/>
      <c r="M69" s="211"/>
      <c r="N69" s="211"/>
      <c r="O69" s="211"/>
      <c r="P69" s="211"/>
      <c r="Q69" s="211"/>
      <c r="R69" s="211"/>
      <c r="S69" s="211"/>
      <c r="T69" s="211"/>
      <c r="U69" s="211"/>
    </row>
    <row r="70" s="159" customFormat="1" spans="2:21">
      <c r="B70" s="211"/>
      <c r="C70" s="213"/>
      <c r="D70" s="211"/>
      <c r="E70" s="211"/>
      <c r="F70" s="212"/>
      <c r="G70" s="211"/>
      <c r="H70" s="211"/>
      <c r="I70" s="211"/>
      <c r="J70" s="211"/>
      <c r="K70" s="211"/>
      <c r="M70" s="211"/>
      <c r="N70" s="211"/>
      <c r="O70" s="211"/>
      <c r="P70" s="211"/>
      <c r="Q70" s="211"/>
      <c r="R70" s="211"/>
      <c r="S70" s="211"/>
      <c r="T70" s="211"/>
      <c r="U70" s="211"/>
    </row>
    <row r="71" s="159" customFormat="1" spans="2:21">
      <c r="B71" s="211"/>
      <c r="C71" s="213"/>
      <c r="D71" s="211"/>
      <c r="E71" s="211"/>
      <c r="F71" s="212"/>
      <c r="G71" s="211"/>
      <c r="H71" s="211"/>
      <c r="I71" s="211"/>
      <c r="J71" s="211"/>
      <c r="K71" s="211"/>
      <c r="M71" s="211"/>
      <c r="N71" s="211"/>
      <c r="O71" s="211"/>
      <c r="P71" s="211"/>
      <c r="Q71" s="211"/>
      <c r="R71" s="211"/>
      <c r="S71" s="211"/>
      <c r="T71" s="211"/>
      <c r="U71" s="211"/>
    </row>
    <row r="72" s="159" customFormat="1" spans="2:21">
      <c r="B72" s="211"/>
      <c r="C72" s="213"/>
      <c r="D72" s="211"/>
      <c r="E72" s="211"/>
      <c r="F72" s="212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</row>
    <row r="73" s="159" customFormat="1" spans="2:21">
      <c r="B73" s="211"/>
      <c r="C73" s="213"/>
      <c r="D73" s="211"/>
      <c r="E73" s="211"/>
      <c r="F73" s="212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</row>
    <row r="74" s="159" customFormat="1" spans="2:21">
      <c r="B74" s="211"/>
      <c r="C74" s="211"/>
      <c r="D74" s="211"/>
      <c r="E74" s="211"/>
      <c r="F74" s="212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</row>
    <row r="75" s="159" customFormat="1" spans="2:21">
      <c r="B75" s="211"/>
      <c r="C75" s="211"/>
      <c r="D75" s="211"/>
      <c r="E75" s="211"/>
      <c r="F75" s="212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</row>
    <row r="76" s="159" customFormat="1" spans="2:21">
      <c r="B76" s="211"/>
      <c r="C76" s="211"/>
      <c r="D76" s="211"/>
      <c r="E76" s="211"/>
      <c r="F76" s="212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</row>
    <row r="77" s="159" customFormat="1" spans="2:21">
      <c r="B77" s="211"/>
      <c r="C77" s="211"/>
      <c r="D77" s="211"/>
      <c r="E77" s="211"/>
      <c r="F77" s="212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</row>
    <row r="78" s="159" customFormat="1" spans="2:21">
      <c r="B78" s="211"/>
      <c r="C78" s="211"/>
      <c r="D78" s="211"/>
      <c r="E78" s="211"/>
      <c r="F78" s="212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</row>
    <row r="79" s="159" customFormat="1" spans="2:21">
      <c r="B79" s="211"/>
      <c r="C79" s="211"/>
      <c r="D79" s="211"/>
      <c r="E79" s="211"/>
      <c r="F79" s="212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</row>
    <row r="80" s="159" customFormat="1" spans="2:21">
      <c r="B80" s="211"/>
      <c r="C80" s="211"/>
      <c r="D80" s="211"/>
      <c r="E80" s="211"/>
      <c r="F80" s="212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</row>
    <row r="81" s="159" customFormat="1" spans="2:21">
      <c r="B81" s="211"/>
      <c r="C81" s="211"/>
      <c r="D81" s="211"/>
      <c r="E81" s="211"/>
      <c r="F81" s="212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</row>
    <row r="82" s="159" customFormat="1" spans="2:21">
      <c r="B82" s="211"/>
      <c r="C82" s="211"/>
      <c r="D82" s="211"/>
      <c r="E82" s="211"/>
      <c r="F82" s="212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</row>
    <row r="83" s="159" customFormat="1" spans="2:21">
      <c r="B83" s="211"/>
      <c r="C83" s="211"/>
      <c r="D83" s="211"/>
      <c r="E83" s="211"/>
      <c r="F83" s="212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</row>
    <row r="84" s="159" customFormat="1" spans="2:21">
      <c r="B84" s="211"/>
      <c r="C84" s="211"/>
      <c r="D84" s="211"/>
      <c r="E84" s="211"/>
      <c r="F84" s="212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</row>
    <row r="85" s="159" customFormat="1" spans="2:21">
      <c r="B85" s="211"/>
      <c r="C85" s="211"/>
      <c r="D85" s="211"/>
      <c r="E85" s="211"/>
      <c r="F85" s="212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</row>
    <row r="86" s="159" customFormat="1" spans="2:21">
      <c r="B86" s="211"/>
      <c r="C86" s="211"/>
      <c r="D86" s="211"/>
      <c r="E86" s="211"/>
      <c r="F86" s="212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</row>
    <row r="87" s="159" customFormat="1" spans="2:21">
      <c r="B87" s="211"/>
      <c r="C87" s="211"/>
      <c r="D87" s="211"/>
      <c r="E87" s="211"/>
      <c r="F87" s="212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</row>
    <row r="88" s="159" customFormat="1" spans="2:21">
      <c r="B88" s="211"/>
      <c r="C88" s="211"/>
      <c r="D88" s="211"/>
      <c r="E88" s="211"/>
      <c r="F88" s="212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</row>
    <row r="89" s="159" customFormat="1" spans="2:21">
      <c r="B89" s="211"/>
      <c r="C89" s="211"/>
      <c r="D89" s="211"/>
      <c r="E89" s="211"/>
      <c r="F89" s="212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</row>
    <row r="90" s="159" customFormat="1" spans="2:21">
      <c r="B90" s="211"/>
      <c r="C90" s="211"/>
      <c r="D90" s="211"/>
      <c r="E90" s="211"/>
      <c r="F90" s="212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</row>
    <row r="91" s="159" customFormat="1" spans="2:21">
      <c r="B91" s="211"/>
      <c r="C91" s="211"/>
      <c r="D91" s="211"/>
      <c r="E91" s="211"/>
      <c r="F91" s="212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</row>
    <row r="92" s="159" customFormat="1" spans="2:21">
      <c r="B92" s="211"/>
      <c r="C92" s="211"/>
      <c r="D92" s="211"/>
      <c r="E92" s="211"/>
      <c r="F92" s="212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</row>
    <row r="93" s="159" customFormat="1" spans="2:21">
      <c r="B93" s="211"/>
      <c r="C93" s="211"/>
      <c r="D93" s="211"/>
      <c r="E93" s="211"/>
      <c r="F93" s="212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</row>
    <row r="94" s="159" customFormat="1" spans="2:21">
      <c r="B94" s="211"/>
      <c r="C94" s="211"/>
      <c r="D94" s="211"/>
      <c r="E94" s="211"/>
      <c r="F94" s="212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</row>
    <row r="95" s="159" customFormat="1" spans="2:21">
      <c r="B95" s="211"/>
      <c r="C95" s="211"/>
      <c r="D95" s="211"/>
      <c r="E95" s="211"/>
      <c r="F95" s="212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</row>
    <row r="96" s="159" customFormat="1" spans="2:21">
      <c r="B96" s="211"/>
      <c r="C96" s="211"/>
      <c r="D96" s="211"/>
      <c r="E96" s="211"/>
      <c r="F96" s="212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</row>
    <row r="97" s="159" customFormat="1" spans="2:21">
      <c r="B97" s="211"/>
      <c r="C97" s="211"/>
      <c r="D97" s="211"/>
      <c r="E97" s="211"/>
      <c r="F97" s="212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</row>
    <row r="98" s="159" customFormat="1" spans="2:21">
      <c r="B98" s="211"/>
      <c r="C98" s="211"/>
      <c r="D98" s="211"/>
      <c r="E98" s="211"/>
      <c r="F98" s="212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</row>
    <row r="99" s="159" customFormat="1" spans="2:21">
      <c r="B99" s="211"/>
      <c r="C99" s="211"/>
      <c r="D99" s="211"/>
      <c r="E99" s="211"/>
      <c r="F99" s="212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</row>
  </sheetData>
  <mergeCells count="13">
    <mergeCell ref="A2:A14"/>
    <mergeCell ref="A15:A32"/>
    <mergeCell ref="A33:A66"/>
    <mergeCell ref="B2:B14"/>
    <mergeCell ref="B15:B32"/>
    <mergeCell ref="B33:B55"/>
    <mergeCell ref="B56:B59"/>
    <mergeCell ref="B60:B61"/>
    <mergeCell ref="B62:B66"/>
    <mergeCell ref="V2:V5"/>
    <mergeCell ref="V6:V9"/>
    <mergeCell ref="V10:V13"/>
    <mergeCell ref="V41:V44"/>
  </mergeCells>
  <pageMargins left="0.75" right="0.75" top="1" bottom="1" header="0.511805555555556" footer="0.511805555555556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zoomScale="115" zoomScaleNormal="115" topLeftCell="H5" workbookViewId="0">
      <selection activeCell="P36" sqref="P36"/>
    </sheetView>
  </sheetViews>
  <sheetFormatPr defaultColWidth="9" defaultRowHeight="15"/>
  <cols>
    <col min="1" max="1" width="15.875" customWidth="1"/>
    <col min="2" max="2" width="6.625" customWidth="1"/>
    <col min="3" max="3" width="7.25" customWidth="1"/>
    <col min="5" max="5" width="20.125" customWidth="1"/>
    <col min="6" max="6" width="19.75" customWidth="1"/>
    <col min="7" max="7" width="14.75" style="108" customWidth="1"/>
    <col min="8" max="8" width="20.625" customWidth="1"/>
    <col min="12" max="12" width="29.75" customWidth="1"/>
    <col min="13" max="13" width="17.5" customWidth="1"/>
    <col min="14" max="14" width="21" customWidth="1"/>
    <col min="15" max="15" width="26.875" customWidth="1"/>
    <col min="16" max="16" width="29.5" customWidth="1"/>
  </cols>
  <sheetData>
    <row r="1" spans="1:8">
      <c r="A1" s="109"/>
      <c r="B1" s="110" t="s">
        <v>417</v>
      </c>
      <c r="C1" s="111" t="s">
        <v>418</v>
      </c>
      <c r="E1" s="112" t="s">
        <v>419</v>
      </c>
      <c r="F1" s="112"/>
      <c r="G1" s="112" t="s">
        <v>420</v>
      </c>
      <c r="H1" s="112"/>
    </row>
    <row r="2" spans="1:8">
      <c r="A2" s="109" t="s">
        <v>421</v>
      </c>
      <c r="B2" s="110">
        <v>53</v>
      </c>
      <c r="C2" s="111">
        <v>130</v>
      </c>
      <c r="E2" s="113" t="s">
        <v>422</v>
      </c>
      <c r="F2" s="114" t="s">
        <v>423</v>
      </c>
      <c r="G2" s="115">
        <v>3</v>
      </c>
      <c r="H2" s="116" t="s">
        <v>424</v>
      </c>
    </row>
    <row r="3" customHeight="1" spans="1:15">
      <c r="A3" s="109" t="s">
        <v>425</v>
      </c>
      <c r="B3" s="110" t="s">
        <v>417</v>
      </c>
      <c r="C3" s="111" t="s">
        <v>418</v>
      </c>
      <c r="E3" s="113"/>
      <c r="F3" s="116" t="s">
        <v>426</v>
      </c>
      <c r="G3" s="115"/>
      <c r="H3" s="116" t="s">
        <v>427</v>
      </c>
      <c r="L3" s="143" t="s">
        <v>428</v>
      </c>
      <c r="M3" s="143"/>
      <c r="N3" s="143"/>
      <c r="O3" s="143"/>
    </row>
    <row r="4" ht="15.85" spans="1:15">
      <c r="A4" s="109" t="s">
        <v>429</v>
      </c>
      <c r="B4" s="110">
        <v>2</v>
      </c>
      <c r="C4" s="111">
        <v>3</v>
      </c>
      <c r="E4" s="113"/>
      <c r="F4" s="116" t="s">
        <v>430</v>
      </c>
      <c r="G4" s="115"/>
      <c r="H4" s="116" t="s">
        <v>431</v>
      </c>
      <c r="L4" s="144" t="s">
        <v>432</v>
      </c>
      <c r="M4" s="144" t="s">
        <v>433</v>
      </c>
      <c r="N4" s="144" t="s">
        <v>434</v>
      </c>
      <c r="O4" s="145" t="s">
        <v>435</v>
      </c>
    </row>
    <row r="5" ht="15.85" spans="1:16">
      <c r="A5" s="109" t="s">
        <v>436</v>
      </c>
      <c r="B5" s="110">
        <v>2</v>
      </c>
      <c r="C5" s="111">
        <v>4</v>
      </c>
      <c r="E5" s="117" t="s">
        <v>437</v>
      </c>
      <c r="F5" s="116" t="s">
        <v>438</v>
      </c>
      <c r="G5" s="118">
        <v>2</v>
      </c>
      <c r="H5" s="116" t="s">
        <v>439</v>
      </c>
      <c r="L5" s="146" t="s">
        <v>440</v>
      </c>
      <c r="M5" s="147" t="s">
        <v>441</v>
      </c>
      <c r="N5" s="146" t="s">
        <v>442</v>
      </c>
      <c r="O5" s="148" t="s">
        <v>443</v>
      </c>
      <c r="P5" s="107" t="s">
        <v>444</v>
      </c>
    </row>
    <row r="6" ht="31.7" spans="1:15">
      <c r="A6" s="109" t="s">
        <v>445</v>
      </c>
      <c r="B6" s="110">
        <v>1</v>
      </c>
      <c r="C6" s="111">
        <v>1</v>
      </c>
      <c r="E6" s="119"/>
      <c r="F6" s="116" t="s">
        <v>446</v>
      </c>
      <c r="G6" s="115"/>
      <c r="H6" s="120"/>
      <c r="L6" s="146" t="s">
        <v>447</v>
      </c>
      <c r="M6" s="147" t="s">
        <v>448</v>
      </c>
      <c r="N6" s="146" t="s">
        <v>449</v>
      </c>
      <c r="O6" s="149" t="s">
        <v>450</v>
      </c>
    </row>
    <row r="7" ht="15.85" spans="1:15">
      <c r="A7" s="109" t="s">
        <v>451</v>
      </c>
      <c r="B7" s="110">
        <v>1</v>
      </c>
      <c r="C7" s="111">
        <v>2</v>
      </c>
      <c r="E7" s="119"/>
      <c r="F7" s="116"/>
      <c r="G7" s="115"/>
      <c r="H7" s="121"/>
      <c r="L7" s="146" t="s">
        <v>452</v>
      </c>
      <c r="M7" s="147" t="s">
        <v>453</v>
      </c>
      <c r="N7" s="146" t="s">
        <v>454</v>
      </c>
      <c r="O7" s="149" t="s">
        <v>455</v>
      </c>
    </row>
    <row r="8" ht="15.85" spans="1:15">
      <c r="A8" s="109" t="s">
        <v>456</v>
      </c>
      <c r="B8" s="110">
        <v>8</v>
      </c>
      <c r="C8" s="111">
        <v>8</v>
      </c>
      <c r="E8" s="119"/>
      <c r="F8" s="122"/>
      <c r="G8" s="115"/>
      <c r="H8" s="123"/>
      <c r="L8" s="150" t="s">
        <v>457</v>
      </c>
      <c r="M8" s="150" t="s">
        <v>458</v>
      </c>
      <c r="N8" s="150" t="s">
        <v>459</v>
      </c>
      <c r="O8" s="151" t="s">
        <v>460</v>
      </c>
    </row>
    <row r="9" ht="15.85" spans="1:15">
      <c r="A9" s="109" t="s">
        <v>398</v>
      </c>
      <c r="B9" s="110">
        <v>4</v>
      </c>
      <c r="C9" s="111">
        <v>5</v>
      </c>
      <c r="E9" s="124" t="s">
        <v>441</v>
      </c>
      <c r="F9" s="125" t="s">
        <v>441</v>
      </c>
      <c r="G9" s="126" t="s">
        <v>461</v>
      </c>
      <c r="H9" s="127"/>
      <c r="L9" s="146" t="s">
        <v>462</v>
      </c>
      <c r="M9" s="146" t="s">
        <v>463</v>
      </c>
      <c r="N9" s="146" t="s">
        <v>442</v>
      </c>
      <c r="O9" s="152" t="s">
        <v>464</v>
      </c>
    </row>
    <row r="10" spans="1:8">
      <c r="A10" s="109" t="s">
        <v>465</v>
      </c>
      <c r="B10" s="110">
        <v>1</v>
      </c>
      <c r="C10" s="111">
        <v>1</v>
      </c>
      <c r="E10" s="128" t="s">
        <v>466</v>
      </c>
      <c r="F10" s="125" t="s">
        <v>467</v>
      </c>
      <c r="G10" s="126"/>
      <c r="H10" s="125"/>
    </row>
    <row r="11" spans="1:8">
      <c r="A11" s="109"/>
      <c r="B11" s="129"/>
      <c r="C11" s="109"/>
      <c r="E11" s="130"/>
      <c r="F11" s="125" t="s">
        <v>468</v>
      </c>
      <c r="G11" s="126"/>
      <c r="H11" s="131"/>
    </row>
    <row r="12" spans="2:15">
      <c r="B12" s="132"/>
      <c r="E12" s="133"/>
      <c r="F12" s="134"/>
      <c r="G12" s="135"/>
      <c r="H12" s="136"/>
      <c r="L12" s="143" t="s">
        <v>429</v>
      </c>
      <c r="M12" s="143"/>
      <c r="N12" s="143"/>
      <c r="O12" s="143"/>
    </row>
    <row r="13" ht="15.85" spans="5:15">
      <c r="E13" s="117" t="s">
        <v>469</v>
      </c>
      <c r="F13" s="116" t="s">
        <v>178</v>
      </c>
      <c r="G13" s="118">
        <v>8</v>
      </c>
      <c r="H13" s="137" t="s">
        <v>470</v>
      </c>
      <c r="L13" s="144" t="s">
        <v>432</v>
      </c>
      <c r="M13" s="144" t="s">
        <v>433</v>
      </c>
      <c r="N13" s="144" t="s">
        <v>471</v>
      </c>
      <c r="O13" s="145" t="s">
        <v>435</v>
      </c>
    </row>
    <row r="14" ht="15.85" spans="5:15">
      <c r="E14" s="119"/>
      <c r="F14" s="116" t="s">
        <v>182</v>
      </c>
      <c r="G14" s="115"/>
      <c r="H14" s="137" t="s">
        <v>472</v>
      </c>
      <c r="L14" s="150" t="s">
        <v>473</v>
      </c>
      <c r="M14" s="147" t="s">
        <v>438</v>
      </c>
      <c r="N14" s="146" t="s">
        <v>442</v>
      </c>
      <c r="O14" s="153" t="s">
        <v>474</v>
      </c>
    </row>
    <row r="15" ht="15.85" spans="5:15">
      <c r="E15" s="119"/>
      <c r="F15" s="116" t="s">
        <v>186</v>
      </c>
      <c r="G15" s="115"/>
      <c r="H15" s="138"/>
      <c r="L15" s="154"/>
      <c r="M15" s="147" t="s">
        <v>446</v>
      </c>
      <c r="N15" s="146" t="s">
        <v>449</v>
      </c>
      <c r="O15" s="155" t="s">
        <v>475</v>
      </c>
    </row>
    <row r="16" spans="5:8">
      <c r="E16" s="119"/>
      <c r="F16" s="116" t="s">
        <v>193</v>
      </c>
      <c r="G16" s="115"/>
      <c r="H16" s="139"/>
    </row>
    <row r="17" spans="5:8">
      <c r="E17" s="119"/>
      <c r="F17" s="116" t="s">
        <v>267</v>
      </c>
      <c r="G17" s="115"/>
      <c r="H17" s="121"/>
    </row>
    <row r="18" spans="5:15">
      <c r="E18" s="119"/>
      <c r="F18" s="116" t="s">
        <v>275</v>
      </c>
      <c r="G18" s="115"/>
      <c r="H18" s="140"/>
      <c r="L18" s="143" t="s">
        <v>456</v>
      </c>
      <c r="M18" s="143"/>
      <c r="N18" s="143"/>
      <c r="O18" s="143"/>
    </row>
    <row r="19" ht="15.85" spans="5:15">
      <c r="E19" s="119"/>
      <c r="F19" s="116" t="s">
        <v>281</v>
      </c>
      <c r="G19" s="115"/>
      <c r="H19" s="121"/>
      <c r="L19" s="156" t="s">
        <v>432</v>
      </c>
      <c r="M19" s="144" t="s">
        <v>433</v>
      </c>
      <c r="N19" s="144" t="s">
        <v>476</v>
      </c>
      <c r="O19" s="145" t="s">
        <v>435</v>
      </c>
    </row>
    <row r="20" ht="15.85" spans="5:15">
      <c r="E20" s="119"/>
      <c r="F20" s="122" t="s">
        <v>287</v>
      </c>
      <c r="G20" s="115"/>
      <c r="H20" s="123"/>
      <c r="L20" s="146" t="s">
        <v>477</v>
      </c>
      <c r="M20" s="157" t="s">
        <v>178</v>
      </c>
      <c r="N20" s="146" t="s">
        <v>442</v>
      </c>
      <c r="O20" s="155" t="s">
        <v>478</v>
      </c>
    </row>
    <row r="21" ht="15.85" spans="5:15">
      <c r="E21" s="141" t="s">
        <v>479</v>
      </c>
      <c r="F21" s="142" t="s">
        <v>480</v>
      </c>
      <c r="G21" s="141">
        <v>1</v>
      </c>
      <c r="H21" s="127" t="s">
        <v>481</v>
      </c>
      <c r="L21" s="146"/>
      <c r="M21" s="157" t="s">
        <v>182</v>
      </c>
      <c r="N21" s="146" t="s">
        <v>442</v>
      </c>
      <c r="O21" s="155" t="s">
        <v>478</v>
      </c>
    </row>
    <row r="22" ht="15.85" spans="5:15">
      <c r="E22" s="141"/>
      <c r="F22" s="142"/>
      <c r="G22" s="141"/>
      <c r="H22" s="127"/>
      <c r="L22" s="146"/>
      <c r="M22" s="157" t="s">
        <v>186</v>
      </c>
      <c r="N22" s="146" t="s">
        <v>442</v>
      </c>
      <c r="O22" s="155" t="s">
        <v>478</v>
      </c>
    </row>
    <row r="23" ht="15.85" spans="5:15">
      <c r="E23" s="141" t="s">
        <v>482</v>
      </c>
      <c r="F23" s="142"/>
      <c r="G23" s="141">
        <v>1</v>
      </c>
      <c r="H23" s="127" t="s">
        <v>483</v>
      </c>
      <c r="L23" s="146"/>
      <c r="M23" s="157" t="s">
        <v>193</v>
      </c>
      <c r="N23" s="146" t="s">
        <v>442</v>
      </c>
      <c r="O23" s="155" t="s">
        <v>478</v>
      </c>
    </row>
    <row r="24" ht="15.85" spans="5:15">
      <c r="E24" s="112" t="s">
        <v>484</v>
      </c>
      <c r="F24" s="112" t="s">
        <v>485</v>
      </c>
      <c r="G24" s="112">
        <v>4</v>
      </c>
      <c r="H24" s="127" t="s">
        <v>486</v>
      </c>
      <c r="L24" s="146"/>
      <c r="M24" s="157" t="s">
        <v>267</v>
      </c>
      <c r="N24" s="146" t="s">
        <v>449</v>
      </c>
      <c r="O24" s="155" t="s">
        <v>475</v>
      </c>
    </row>
    <row r="25" ht="15.85" spans="5:15">
      <c r="E25" s="112"/>
      <c r="F25" s="112" t="s">
        <v>487</v>
      </c>
      <c r="G25" s="112"/>
      <c r="H25" s="127" t="s">
        <v>488</v>
      </c>
      <c r="L25" s="146"/>
      <c r="M25" s="157" t="s">
        <v>275</v>
      </c>
      <c r="N25" s="146" t="s">
        <v>449</v>
      </c>
      <c r="O25" s="155" t="s">
        <v>475</v>
      </c>
    </row>
    <row r="26" ht="15.85" spans="5:15">
      <c r="E26" s="112"/>
      <c r="F26" s="112" t="s">
        <v>489</v>
      </c>
      <c r="G26" s="112"/>
      <c r="H26" s="127" t="s">
        <v>490</v>
      </c>
      <c r="L26" s="146"/>
      <c r="M26" s="157" t="s">
        <v>281</v>
      </c>
      <c r="N26" s="146" t="s">
        <v>449</v>
      </c>
      <c r="O26" s="155" t="s">
        <v>475</v>
      </c>
    </row>
    <row r="27" ht="15.85" spans="5:15">
      <c r="E27" s="112"/>
      <c r="F27" s="112" t="s">
        <v>491</v>
      </c>
      <c r="G27" s="112"/>
      <c r="H27" s="127" t="s">
        <v>490</v>
      </c>
      <c r="L27" s="146"/>
      <c r="M27" s="157" t="s">
        <v>287</v>
      </c>
      <c r="N27" s="146" t="s">
        <v>449</v>
      </c>
      <c r="O27" s="155" t="s">
        <v>475</v>
      </c>
    </row>
    <row r="30" spans="12:15">
      <c r="L30" s="143" t="s">
        <v>492</v>
      </c>
      <c r="M30" s="143"/>
      <c r="N30" s="143"/>
      <c r="O30" s="143"/>
    </row>
    <row r="31" ht="15.85" spans="12:15">
      <c r="L31" s="156" t="s">
        <v>432</v>
      </c>
      <c r="M31" s="144" t="s">
        <v>433</v>
      </c>
      <c r="N31" s="144" t="s">
        <v>493</v>
      </c>
      <c r="O31" s="145" t="s">
        <v>435</v>
      </c>
    </row>
    <row r="32" ht="15.85" spans="12:15">
      <c r="L32" s="146" t="s">
        <v>494</v>
      </c>
      <c r="M32" s="157" t="s">
        <v>465</v>
      </c>
      <c r="N32" s="146" t="s">
        <v>442</v>
      </c>
      <c r="O32" s="155" t="s">
        <v>478</v>
      </c>
    </row>
    <row r="33" ht="15.85" spans="12:15">
      <c r="L33" s="146" t="s">
        <v>481</v>
      </c>
      <c r="M33" s="157" t="s">
        <v>451</v>
      </c>
      <c r="N33" s="146" t="s">
        <v>449</v>
      </c>
      <c r="O33" s="155" t="s">
        <v>475</v>
      </c>
    </row>
    <row r="36" spans="12:15">
      <c r="L36" s="143" t="s">
        <v>398</v>
      </c>
      <c r="M36" s="143"/>
      <c r="N36" s="143"/>
      <c r="O36" s="143"/>
    </row>
    <row r="37" ht="15.85" spans="12:15">
      <c r="L37" s="156" t="s">
        <v>432</v>
      </c>
      <c r="M37" s="144" t="s">
        <v>433</v>
      </c>
      <c r="N37" s="144" t="s">
        <v>493</v>
      </c>
      <c r="O37" s="145" t="s">
        <v>435</v>
      </c>
    </row>
    <row r="38" ht="15.85" spans="12:15">
      <c r="L38" s="146" t="s">
        <v>495</v>
      </c>
      <c r="M38" s="157" t="s">
        <v>398</v>
      </c>
      <c r="N38" s="158" t="s">
        <v>496</v>
      </c>
      <c r="O38" s="155" t="s">
        <v>497</v>
      </c>
    </row>
    <row r="39" ht="15.85" spans="12:15">
      <c r="L39" s="146"/>
      <c r="M39" s="157"/>
      <c r="N39" s="146"/>
      <c r="O39" s="155"/>
    </row>
    <row r="42" spans="12:15">
      <c r="L42" s="143" t="s">
        <v>498</v>
      </c>
      <c r="M42" s="143"/>
      <c r="N42" s="143"/>
      <c r="O42" s="143"/>
    </row>
    <row r="43" ht="15.85" spans="12:15">
      <c r="L43" s="156" t="s">
        <v>432</v>
      </c>
      <c r="M43" s="144" t="s">
        <v>433</v>
      </c>
      <c r="N43" s="144" t="s">
        <v>493</v>
      </c>
      <c r="O43" s="145" t="s">
        <v>435</v>
      </c>
    </row>
    <row r="44" ht="15.85" spans="12:15">
      <c r="L44" s="146" t="s">
        <v>498</v>
      </c>
      <c r="M44" s="157" t="s">
        <v>499</v>
      </c>
      <c r="N44" s="146" t="s">
        <v>442</v>
      </c>
      <c r="O44" s="155" t="s">
        <v>478</v>
      </c>
    </row>
    <row r="45" ht="15.85" spans="12:15">
      <c r="L45" s="146"/>
      <c r="M45" s="157"/>
      <c r="N45" s="146"/>
      <c r="O45" s="155"/>
    </row>
  </sheetData>
  <mergeCells count="20">
    <mergeCell ref="E1:F1"/>
    <mergeCell ref="L3:O3"/>
    <mergeCell ref="L12:O12"/>
    <mergeCell ref="L18:O18"/>
    <mergeCell ref="L30:O30"/>
    <mergeCell ref="L36:O36"/>
    <mergeCell ref="L42:O42"/>
    <mergeCell ref="E5:E8"/>
    <mergeCell ref="E10:E12"/>
    <mergeCell ref="E13:E20"/>
    <mergeCell ref="E21:E22"/>
    <mergeCell ref="E24:E27"/>
    <mergeCell ref="G2:G4"/>
    <mergeCell ref="G5:G8"/>
    <mergeCell ref="G9:G11"/>
    <mergeCell ref="G13:G20"/>
    <mergeCell ref="G21:G22"/>
    <mergeCell ref="G24:G27"/>
    <mergeCell ref="L14:L15"/>
    <mergeCell ref="L20:L2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opLeftCell="A6" workbookViewId="0">
      <selection activeCell="B35" sqref="B35"/>
    </sheetView>
  </sheetViews>
  <sheetFormatPr defaultColWidth="9" defaultRowHeight="15" outlineLevelCol="3"/>
  <cols>
    <col min="1" max="1" width="14.75" customWidth="1"/>
    <col min="2" max="2" width="42" style="103" customWidth="1"/>
  </cols>
  <sheetData>
    <row r="1" spans="1:2">
      <c r="A1" s="104">
        <v>45722</v>
      </c>
      <c r="B1" s="105"/>
    </row>
    <row r="2" ht="45" spans="1:2">
      <c r="A2" s="104"/>
      <c r="B2" s="103" t="s">
        <v>500</v>
      </c>
    </row>
    <row r="4" ht="30" spans="2:2">
      <c r="B4" s="103" t="s">
        <v>501</v>
      </c>
    </row>
    <row r="5" spans="2:2">
      <c r="B5" s="103" t="s">
        <v>502</v>
      </c>
    </row>
    <row r="6" ht="45" spans="2:2">
      <c r="B6" s="103" t="s">
        <v>503</v>
      </c>
    </row>
    <row r="7" spans="2:2">
      <c r="B7" s="103" t="s">
        <v>504</v>
      </c>
    </row>
    <row r="8" spans="1:1">
      <c r="A8" s="104"/>
    </row>
    <row r="9" spans="1:2">
      <c r="A9" s="104"/>
      <c r="B9" s="103" t="s">
        <v>505</v>
      </c>
    </row>
    <row r="10" spans="2:3">
      <c r="B10" s="103" t="s">
        <v>506</v>
      </c>
      <c r="C10" t="s">
        <v>507</v>
      </c>
    </row>
    <row r="11" spans="1:1">
      <c r="A11" s="104"/>
    </row>
    <row r="12" spans="2:3">
      <c r="B12" s="103" t="s">
        <v>508</v>
      </c>
      <c r="C12" t="s">
        <v>509</v>
      </c>
    </row>
    <row r="13" spans="2:2">
      <c r="B13" s="103" t="s">
        <v>510</v>
      </c>
    </row>
    <row r="15" ht="30" spans="2:2">
      <c r="B15" s="103" t="s">
        <v>511</v>
      </c>
    </row>
    <row r="16" spans="1:1">
      <c r="A16" s="104"/>
    </row>
    <row r="17" ht="30" spans="2:4">
      <c r="B17" s="103" t="s">
        <v>512</v>
      </c>
      <c r="D17" t="s">
        <v>513</v>
      </c>
    </row>
    <row r="18" spans="4:4">
      <c r="D18" t="s">
        <v>514</v>
      </c>
    </row>
    <row r="19" spans="1:4">
      <c r="A19" s="104"/>
      <c r="D19" t="s">
        <v>515</v>
      </c>
    </row>
    <row r="20" spans="2:4">
      <c r="B20" s="106" t="s">
        <v>516</v>
      </c>
      <c r="D20" t="s">
        <v>517</v>
      </c>
    </row>
    <row r="21" spans="2:2">
      <c r="B21" s="103" t="s">
        <v>518</v>
      </c>
    </row>
    <row r="23" spans="2:2">
      <c r="B23" s="103" t="s">
        <v>519</v>
      </c>
    </row>
    <row r="24" spans="2:2">
      <c r="B24" s="103" t="s">
        <v>520</v>
      </c>
    </row>
    <row r="26" ht="30" spans="2:2">
      <c r="B26" s="103" t="s">
        <v>521</v>
      </c>
    </row>
    <row r="28" spans="2:2">
      <c r="B28" s="103" t="s">
        <v>522</v>
      </c>
    </row>
    <row r="30" ht="30" spans="2:2">
      <c r="B30" s="107" t="s">
        <v>523</v>
      </c>
    </row>
    <row r="31" spans="2:2">
      <c r="B31" s="107" t="s">
        <v>524</v>
      </c>
    </row>
    <row r="32" ht="44.25" customHeight="1" spans="2:2">
      <c r="B32" s="107" t="s">
        <v>525</v>
      </c>
    </row>
    <row r="33" spans="2:2">
      <c r="B33" s="107" t="s">
        <v>526</v>
      </c>
    </row>
    <row r="34" spans="2:2">
      <c r="B34" s="107" t="s">
        <v>527</v>
      </c>
    </row>
    <row r="35" spans="2:2">
      <c r="B35" s="107" t="s">
        <v>528</v>
      </c>
    </row>
    <row r="65" ht="33.95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Y607"/>
  <sheetViews>
    <sheetView zoomScale="85" zoomScaleNormal="85" topLeftCell="D22" workbookViewId="0">
      <selection activeCell="AI61" sqref="AI61"/>
    </sheetView>
  </sheetViews>
  <sheetFormatPr defaultColWidth="9" defaultRowHeight="15"/>
  <cols>
    <col min="1" max="1" width="9" style="33"/>
    <col min="2" max="2" width="34.875" customWidth="1"/>
    <col min="3" max="3" width="12.625" style="34" customWidth="1"/>
    <col min="4" max="4" width="9.625" style="35" customWidth="1"/>
    <col min="5" max="5" width="37.125" style="34" customWidth="1"/>
    <col min="6" max="6" width="9" style="33"/>
    <col min="7" max="7" width="9" style="35"/>
    <col min="8" max="8" width="11.25" style="35" customWidth="1"/>
    <col min="9" max="10" width="9" style="35"/>
    <col min="11" max="11" width="34.75" style="36" customWidth="1"/>
    <col min="12" max="45" width="3.625" style="35" customWidth="1"/>
    <col min="46" max="46" width="28.375" style="34" customWidth="1"/>
    <col min="47" max="155" width="9" style="35"/>
    <col min="156" max="16384" width="9" style="33"/>
  </cols>
  <sheetData>
    <row r="1" ht="35.1" customHeight="1" spans="2:5">
      <c r="B1" s="33"/>
      <c r="C1" s="37" t="s">
        <v>529</v>
      </c>
      <c r="D1" s="38" t="s">
        <v>530</v>
      </c>
      <c r="E1" s="39" t="s">
        <v>531</v>
      </c>
    </row>
    <row r="2" ht="26.1" spans="2:22">
      <c r="B2" t="s">
        <v>532</v>
      </c>
      <c r="D2" s="40">
        <v>1</v>
      </c>
      <c r="E2" s="41" t="s">
        <v>533</v>
      </c>
      <c r="G2" s="33"/>
      <c r="K2" s="35"/>
      <c r="T2" s="49"/>
      <c r="V2" s="49"/>
    </row>
    <row r="3" ht="26.1" spans="2:40">
      <c r="B3" t="s">
        <v>534</v>
      </c>
      <c r="D3" s="40">
        <v>2</v>
      </c>
      <c r="E3" s="41" t="s">
        <v>535</v>
      </c>
      <c r="G3" s="33"/>
      <c r="K3" s="35"/>
      <c r="O3" s="49"/>
      <c r="Y3" s="49"/>
      <c r="AF3" s="49"/>
      <c r="AN3" s="49"/>
    </row>
    <row r="4" spans="2:5">
      <c r="B4" t="s">
        <v>533</v>
      </c>
      <c r="D4" s="40">
        <v>3</v>
      </c>
      <c r="E4" s="41" t="s">
        <v>536</v>
      </c>
    </row>
    <row r="5" spans="2:42">
      <c r="B5" t="s">
        <v>535</v>
      </c>
      <c r="D5" s="40">
        <v>4</v>
      </c>
      <c r="E5" s="41" t="s">
        <v>537</v>
      </c>
      <c r="AM5" s="70" t="s">
        <v>538</v>
      </c>
      <c r="AN5" s="70"/>
      <c r="AO5" s="70"/>
      <c r="AP5" s="70"/>
    </row>
    <row r="6" ht="15.75" spans="2:42">
      <c r="B6" t="s">
        <v>536</v>
      </c>
      <c r="D6" s="40">
        <v>5</v>
      </c>
      <c r="E6" s="41" t="s">
        <v>539</v>
      </c>
      <c r="AM6" s="70"/>
      <c r="AN6" s="70"/>
      <c r="AO6" s="70"/>
      <c r="AP6" s="70"/>
    </row>
    <row r="7" ht="147.95" customHeight="1" spans="2:46">
      <c r="B7" t="s">
        <v>537</v>
      </c>
      <c r="D7" s="40">
        <v>6</v>
      </c>
      <c r="E7" s="41" t="s">
        <v>540</v>
      </c>
      <c r="F7" s="35"/>
      <c r="K7" s="34"/>
      <c r="M7" s="50" t="str">
        <f t="shared" ref="M7:AR7" si="0">VLOOKUP(M8,$D:$E,2,FALSE)</f>
        <v>RX1_I2C_DATA 
/RX1_AUX_P</v>
      </c>
      <c r="N7" s="51" t="str">
        <f t="shared" si="0"/>
        <v>RX1_I2C_CLK
/RX1_AUX_N</v>
      </c>
      <c r="O7" s="52" t="str">
        <f t="shared" si="0"/>
        <v>RX1_HOTPLUG</v>
      </c>
      <c r="P7" s="53" t="str">
        <f t="shared" si="0"/>
        <v>RX0_HDMI_CABLE_DET</v>
      </c>
      <c r="Q7" s="77" t="str">
        <f t="shared" si="0"/>
        <v>RX0_HOTPLUG</v>
      </c>
      <c r="R7" s="50" t="str">
        <f t="shared" si="0"/>
        <v>RX0_I2C_DATA 
/UART0_RX/VGA_SDA</v>
      </c>
      <c r="S7" s="50" t="str">
        <f t="shared" si="0"/>
        <v>RX0_I2C_CLK 
/UART0_TX/VGA_SCL</v>
      </c>
      <c r="T7" s="50" t="str">
        <f t="shared" si="0"/>
        <v>EE_GPIO</v>
      </c>
      <c r="U7" s="50" t="str">
        <f t="shared" si="0"/>
        <v>UART1_TX</v>
      </c>
      <c r="V7" s="50" t="str">
        <f t="shared" si="0"/>
        <v>UART1_RX</v>
      </c>
      <c r="W7" s="50" t="str">
        <f t="shared" si="0"/>
        <v>I2C_M1_SDA</v>
      </c>
      <c r="X7" s="50" t="str">
        <f t="shared" si="0"/>
        <v>I2C_M1_SCL</v>
      </c>
      <c r="Y7" s="50" t="str">
        <f t="shared" si="0"/>
        <v>I2C_M0_SDA 
I2C_S0_SDA</v>
      </c>
      <c r="Z7" s="50" t="str">
        <f t="shared" si="0"/>
        <v>I2C_M0_SCL 
/I2C_S0_SCL</v>
      </c>
      <c r="AA7" s="50" t="str">
        <f t="shared" si="0"/>
        <v>EE_3V3</v>
      </c>
      <c r="AB7" s="50" t="str">
        <f t="shared" si="0"/>
        <v>GPIO_PWM7</v>
      </c>
      <c r="AC7" s="50" t="str">
        <f t="shared" si="0"/>
        <v>GPIO_PWM6</v>
      </c>
      <c r="AD7" s="51" t="str">
        <f t="shared" si="0"/>
        <v>GPIO_PWM5</v>
      </c>
      <c r="AE7" s="52" t="str">
        <f t="shared" si="0"/>
        <v>GPIO_PWM4</v>
      </c>
      <c r="AF7" s="83" t="str">
        <f t="shared" si="0"/>
        <v>EE_CoreVDD</v>
      </c>
      <c r="AG7" s="83" t="str">
        <f t="shared" si="0"/>
        <v>BL_SPI_CS/BCON[11]/PWM7</v>
      </c>
      <c r="AH7" s="53" t="str">
        <f t="shared" si="0"/>
        <v>BL_SPI_DI/BCON[10]/PWM6</v>
      </c>
      <c r="AI7" s="77" t="str">
        <f t="shared" si="0"/>
        <v>BL_SPI_DO/BCON[9]/PWM5</v>
      </c>
      <c r="AJ7" s="50" t="str">
        <f t="shared" si="0"/>
        <v>BL_SPI_CLK/BCON[8]/PWM4</v>
      </c>
      <c r="AK7" s="50" t="str">
        <f t="shared" si="0"/>
        <v>BCON[7]</v>
      </c>
      <c r="AL7" s="51" t="str">
        <f t="shared" si="0"/>
        <v>BCON[6]</v>
      </c>
      <c r="AM7" s="52" t="str">
        <f t="shared" si="0"/>
        <v>BCON[5]</v>
      </c>
      <c r="AN7" s="83" t="str">
        <f t="shared" si="0"/>
        <v>BCON[4]</v>
      </c>
      <c r="AO7" s="83" t="str">
        <f t="shared" si="0"/>
        <v>BCON[3]</v>
      </c>
      <c r="AP7" s="53" t="str">
        <f t="shared" si="0"/>
        <v>BCON[2]</v>
      </c>
      <c r="AQ7" s="77" t="str">
        <f t="shared" si="0"/>
        <v>BCON[1]</v>
      </c>
      <c r="AR7" s="92" t="str">
        <f t="shared" si="0"/>
        <v>BCON[0]</v>
      </c>
      <c r="AT7" s="93" t="s">
        <v>541</v>
      </c>
    </row>
    <row r="8" ht="15.75" spans="2:44">
      <c r="B8" t="s">
        <v>539</v>
      </c>
      <c r="D8" s="40">
        <v>7</v>
      </c>
      <c r="E8" s="41" t="s">
        <v>542</v>
      </c>
      <c r="F8" s="35"/>
      <c r="M8" s="40">
        <v>156</v>
      </c>
      <c r="N8" s="40">
        <v>155</v>
      </c>
      <c r="O8" s="54">
        <v>154</v>
      </c>
      <c r="P8" s="54">
        <v>153</v>
      </c>
      <c r="Q8" s="40">
        <v>152</v>
      </c>
      <c r="R8" s="40">
        <v>151</v>
      </c>
      <c r="S8" s="40">
        <v>150</v>
      </c>
      <c r="T8" s="40">
        <v>149</v>
      </c>
      <c r="U8" s="40">
        <v>148</v>
      </c>
      <c r="V8" s="40">
        <v>147</v>
      </c>
      <c r="W8" s="40">
        <v>146</v>
      </c>
      <c r="X8" s="40">
        <v>145</v>
      </c>
      <c r="Y8" s="40">
        <v>144</v>
      </c>
      <c r="Z8" s="40">
        <v>143</v>
      </c>
      <c r="AA8" s="40">
        <v>142</v>
      </c>
      <c r="AB8" s="40">
        <v>141</v>
      </c>
      <c r="AC8" s="40">
        <v>140</v>
      </c>
      <c r="AD8" s="40">
        <v>139</v>
      </c>
      <c r="AE8" s="54">
        <v>138</v>
      </c>
      <c r="AF8" s="54">
        <v>137</v>
      </c>
      <c r="AG8" s="54">
        <v>136</v>
      </c>
      <c r="AH8" s="54">
        <v>135</v>
      </c>
      <c r="AI8" s="40">
        <v>134</v>
      </c>
      <c r="AJ8" s="40">
        <v>133</v>
      </c>
      <c r="AK8" s="40">
        <v>132</v>
      </c>
      <c r="AL8" s="40">
        <v>131</v>
      </c>
      <c r="AM8" s="54">
        <v>130</v>
      </c>
      <c r="AN8" s="54">
        <v>129</v>
      </c>
      <c r="AO8" s="54">
        <v>128</v>
      </c>
      <c r="AP8" s="54">
        <v>127</v>
      </c>
      <c r="AQ8" s="40">
        <v>126</v>
      </c>
      <c r="AR8" s="40">
        <v>125</v>
      </c>
    </row>
    <row r="9" spans="1:46">
      <c r="A9" s="33">
        <v>1</v>
      </c>
      <c r="B9" s="42" t="s">
        <v>540</v>
      </c>
      <c r="D9" s="40">
        <v>8</v>
      </c>
      <c r="E9" s="41" t="s">
        <v>543</v>
      </c>
      <c r="F9" s="35"/>
      <c r="K9" s="55" t="str">
        <f t="shared" ref="K9:K54" si="1">VLOOKUP(L9,$D:$E,2,FALSE)</f>
        <v>RX1_HDMI/DP_CABLE_DET</v>
      </c>
      <c r="L9" s="56">
        <v>1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94">
        <v>124</v>
      </c>
      <c r="AT9" s="95" t="str">
        <f t="shared" ref="AT9:AT54" si="2">VLOOKUP(AS9,$D:$E,2,FALSE)</f>
        <v>LVDS_3V3</v>
      </c>
    </row>
    <row r="10" ht="14.45" customHeight="1" spans="2:46">
      <c r="B10" t="s">
        <v>542</v>
      </c>
      <c r="D10" s="40">
        <v>9</v>
      </c>
      <c r="E10" s="41" t="s">
        <v>544</v>
      </c>
      <c r="F10" s="35"/>
      <c r="K10" s="58" t="str">
        <f t="shared" si="1"/>
        <v>RX2_AUX_N</v>
      </c>
      <c r="L10" s="56">
        <v>2</v>
      </c>
      <c r="M10" s="57"/>
      <c r="N10" s="59" t="s">
        <v>545</v>
      </c>
      <c r="O10" s="59"/>
      <c r="P10" s="59"/>
      <c r="Q10" s="57"/>
      <c r="R10" s="59" t="s">
        <v>429</v>
      </c>
      <c r="S10" s="59"/>
      <c r="T10" s="59"/>
      <c r="U10" s="65"/>
      <c r="V10" s="65"/>
      <c r="W10" s="57"/>
      <c r="X10" s="57"/>
      <c r="Y10" s="57"/>
      <c r="Z10" s="70" t="s">
        <v>428</v>
      </c>
      <c r="AA10" s="70"/>
      <c r="AB10" s="70"/>
      <c r="AC10" s="70"/>
      <c r="AD10" s="70" t="s">
        <v>546</v>
      </c>
      <c r="AE10" s="70"/>
      <c r="AF10" s="70"/>
      <c r="AG10" s="70"/>
      <c r="AH10" s="70" t="s">
        <v>547</v>
      </c>
      <c r="AI10" s="70"/>
      <c r="AJ10" s="70"/>
      <c r="AK10" s="70"/>
      <c r="AL10" s="57"/>
      <c r="AM10" s="57"/>
      <c r="AN10" s="70" t="s">
        <v>538</v>
      </c>
      <c r="AO10" s="70"/>
      <c r="AP10" s="70"/>
      <c r="AQ10" s="70"/>
      <c r="AR10" s="57"/>
      <c r="AS10" s="94">
        <v>123</v>
      </c>
      <c r="AT10" s="96" t="str">
        <f t="shared" si="2"/>
        <v>LVDSD_3N</v>
      </c>
    </row>
    <row r="11" ht="14.45" customHeight="1" spans="2:46">
      <c r="B11" t="s">
        <v>543</v>
      </c>
      <c r="D11" s="40">
        <v>10</v>
      </c>
      <c r="E11" s="41" t="s">
        <v>548</v>
      </c>
      <c r="F11" s="35"/>
      <c r="K11" s="58" t="str">
        <f t="shared" si="1"/>
        <v>RX2_AUX_P</v>
      </c>
      <c r="L11" s="56">
        <v>3</v>
      </c>
      <c r="M11" s="57"/>
      <c r="N11" s="59"/>
      <c r="O11" s="59"/>
      <c r="P11" s="59"/>
      <c r="Q11" s="57"/>
      <c r="R11" s="59"/>
      <c r="S11" s="59"/>
      <c r="T11" s="59"/>
      <c r="U11" s="65"/>
      <c r="V11" s="65"/>
      <c r="W11" s="57"/>
      <c r="X11" s="57"/>
      <c r="Y11" s="57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57"/>
      <c r="AM11" s="57"/>
      <c r="AN11" s="70"/>
      <c r="AO11" s="70"/>
      <c r="AP11" s="70"/>
      <c r="AQ11" s="70"/>
      <c r="AR11" s="57"/>
      <c r="AS11" s="94">
        <v>122</v>
      </c>
      <c r="AT11" s="96" t="str">
        <f t="shared" si="2"/>
        <v>LVDSD_3P</v>
      </c>
    </row>
    <row r="12" spans="2:50">
      <c r="B12" t="s">
        <v>544</v>
      </c>
      <c r="D12" s="40">
        <v>11</v>
      </c>
      <c r="E12" s="41" t="s">
        <v>549</v>
      </c>
      <c r="F12" s="43"/>
      <c r="G12" s="43"/>
      <c r="H12" s="43"/>
      <c r="I12" s="43"/>
      <c r="K12" s="58" t="str">
        <f t="shared" si="1"/>
        <v>RX2_HOTPLUG</v>
      </c>
      <c r="L12" s="56">
        <v>4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9"/>
      <c r="AP12" s="59"/>
      <c r="AQ12" s="59"/>
      <c r="AR12" s="57"/>
      <c r="AS12" s="94">
        <v>121</v>
      </c>
      <c r="AT12" s="96" t="str">
        <f t="shared" si="2"/>
        <v>LVDSD_2N</v>
      </c>
      <c r="AW12" s="102"/>
      <c r="AX12" s="102"/>
    </row>
    <row r="13" spans="2:50">
      <c r="B13" t="s">
        <v>548</v>
      </c>
      <c r="D13" s="40">
        <v>12</v>
      </c>
      <c r="E13" s="41" t="s">
        <v>550</v>
      </c>
      <c r="F13" s="43"/>
      <c r="G13" s="43"/>
      <c r="H13" s="43"/>
      <c r="I13" s="43"/>
      <c r="K13" s="58" t="str">
        <f t="shared" si="1"/>
        <v>RX2_DP_CABLE_DET</v>
      </c>
      <c r="L13" s="56">
        <v>5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9"/>
      <c r="AP13" s="59"/>
      <c r="AQ13" s="59"/>
      <c r="AR13" s="57"/>
      <c r="AS13" s="94">
        <v>120</v>
      </c>
      <c r="AT13" s="96" t="str">
        <f t="shared" si="2"/>
        <v>LVDSD_2P</v>
      </c>
      <c r="AW13" s="102"/>
      <c r="AX13" s="102"/>
    </row>
    <row r="14" spans="1:46">
      <c r="A14" s="33">
        <v>1</v>
      </c>
      <c r="B14" s="44" t="s">
        <v>549</v>
      </c>
      <c r="D14" s="40">
        <v>13</v>
      </c>
      <c r="E14" s="41" t="s">
        <v>551</v>
      </c>
      <c r="F14" s="35"/>
      <c r="K14" s="58" t="str">
        <f t="shared" si="1"/>
        <v>RX_3V3</v>
      </c>
      <c r="L14" s="56">
        <v>6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94">
        <v>119</v>
      </c>
      <c r="AT14" s="96" t="str">
        <f t="shared" si="2"/>
        <v>LVDSD_1N</v>
      </c>
    </row>
    <row r="15" spans="2:46">
      <c r="B15" t="s">
        <v>550</v>
      </c>
      <c r="D15" s="40">
        <v>14</v>
      </c>
      <c r="E15" s="41" t="s">
        <v>552</v>
      </c>
      <c r="F15" s="35"/>
      <c r="K15" s="58" t="str">
        <f t="shared" si="1"/>
        <v>RX0_HDMI_CN</v>
      </c>
      <c r="L15" s="56">
        <v>7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94">
        <v>118</v>
      </c>
      <c r="AT15" s="96" t="str">
        <f t="shared" si="2"/>
        <v>LVDSD_1P</v>
      </c>
    </row>
    <row r="16" ht="14.25" customHeight="1" spans="2:46">
      <c r="B16" t="s">
        <v>551</v>
      </c>
      <c r="D16" s="40">
        <v>15</v>
      </c>
      <c r="E16" s="41" t="s">
        <v>553</v>
      </c>
      <c r="F16" s="35"/>
      <c r="K16" s="58" t="str">
        <f t="shared" si="1"/>
        <v>RX0_HDMI_CP</v>
      </c>
      <c r="L16" s="56">
        <v>8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94">
        <v>117</v>
      </c>
      <c r="AT16" s="97" t="str">
        <f t="shared" si="2"/>
        <v>LVDSD_0N</v>
      </c>
    </row>
    <row r="17" ht="14.25" customHeight="1" spans="2:46">
      <c r="B17" t="s">
        <v>552</v>
      </c>
      <c r="D17" s="40">
        <v>16</v>
      </c>
      <c r="E17" s="41" t="s">
        <v>554</v>
      </c>
      <c r="F17" s="35"/>
      <c r="K17" s="60" t="str">
        <f t="shared" si="1"/>
        <v>RX0_HDMI_0N</v>
      </c>
      <c r="L17" s="56">
        <v>9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94">
        <v>116</v>
      </c>
      <c r="AT17" s="98" t="str">
        <f t="shared" si="2"/>
        <v>LVDSD_0P</v>
      </c>
    </row>
    <row r="18" ht="14.25" customHeight="1" spans="2:46">
      <c r="B18" t="s">
        <v>553</v>
      </c>
      <c r="D18" s="40">
        <v>17</v>
      </c>
      <c r="E18" s="41" t="s">
        <v>549</v>
      </c>
      <c r="F18" s="35"/>
      <c r="K18" s="61" t="str">
        <f t="shared" si="1"/>
        <v>RX0_HDMI_0P</v>
      </c>
      <c r="L18" s="56">
        <v>10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94">
        <v>115</v>
      </c>
      <c r="AT18" s="99" t="str">
        <f t="shared" si="2"/>
        <v>LVDSC_CLKN</v>
      </c>
    </row>
    <row r="19" ht="14.25" customHeight="1" spans="1:46">
      <c r="A19" s="33">
        <v>1</v>
      </c>
      <c r="B19" s="42" t="s">
        <v>554</v>
      </c>
      <c r="D19" s="40">
        <v>18</v>
      </c>
      <c r="E19" s="41" t="s">
        <v>555</v>
      </c>
      <c r="F19" s="35"/>
      <c r="K19" s="62" t="str">
        <f t="shared" si="1"/>
        <v>GND</v>
      </c>
      <c r="L19" s="56">
        <v>11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94">
        <v>114</v>
      </c>
      <c r="AT19" s="95" t="str">
        <f t="shared" si="2"/>
        <v>LVDSC_CLKP</v>
      </c>
    </row>
    <row r="20" ht="14.25" customHeight="1" spans="1:46">
      <c r="A20" s="33">
        <v>1</v>
      </c>
      <c r="B20" s="44" t="s">
        <v>549</v>
      </c>
      <c r="D20" s="40">
        <v>19</v>
      </c>
      <c r="E20" s="41" t="s">
        <v>556</v>
      </c>
      <c r="F20" s="35"/>
      <c r="K20" s="63" t="str">
        <f t="shared" si="1"/>
        <v>RX0_HDMI_1N</v>
      </c>
      <c r="L20" s="56">
        <v>12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94">
        <v>113</v>
      </c>
      <c r="AT20" s="96" t="str">
        <f t="shared" si="2"/>
        <v>LVDS_CoreVDD</v>
      </c>
    </row>
    <row r="21" ht="14.25" customHeight="1" spans="2:46">
      <c r="B21" t="s">
        <v>555</v>
      </c>
      <c r="D21" s="40">
        <v>20</v>
      </c>
      <c r="E21" s="41" t="s">
        <v>549</v>
      </c>
      <c r="F21" s="35"/>
      <c r="G21" s="45"/>
      <c r="H21" s="45"/>
      <c r="K21" s="55" t="str">
        <f t="shared" si="1"/>
        <v>RX0_HDMI_1P</v>
      </c>
      <c r="L21" s="56">
        <v>13</v>
      </c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94">
        <v>112</v>
      </c>
      <c r="AT21" s="96" t="str">
        <f t="shared" si="2"/>
        <v>LVDSC_3N</v>
      </c>
    </row>
    <row r="22" ht="14.25" customHeight="1" spans="2:46">
      <c r="B22" t="s">
        <v>556</v>
      </c>
      <c r="D22" s="40">
        <v>21</v>
      </c>
      <c r="E22" s="41" t="s">
        <v>557</v>
      </c>
      <c r="F22" s="35"/>
      <c r="G22" s="45"/>
      <c r="H22" s="45"/>
      <c r="K22" s="58" t="str">
        <f t="shared" si="1"/>
        <v>RX0_HDMI_2N</v>
      </c>
      <c r="L22" s="56">
        <v>14</v>
      </c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94">
        <v>111</v>
      </c>
      <c r="AT22" s="96" t="str">
        <f t="shared" si="2"/>
        <v>LVDSC_3P</v>
      </c>
    </row>
    <row r="23" ht="14.25" customHeight="1" spans="1:46">
      <c r="A23" s="33">
        <v>1</v>
      </c>
      <c r="B23" s="44" t="s">
        <v>549</v>
      </c>
      <c r="D23" s="40">
        <v>22</v>
      </c>
      <c r="E23" s="41" t="s">
        <v>558</v>
      </c>
      <c r="F23" s="35"/>
      <c r="K23" s="58" t="str">
        <f t="shared" si="1"/>
        <v>RX0_HDMI_2P</v>
      </c>
      <c r="L23" s="56">
        <v>15</v>
      </c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94">
        <v>110</v>
      </c>
      <c r="AT23" s="96" t="str">
        <f t="shared" si="2"/>
        <v>LVDSC_2N</v>
      </c>
    </row>
    <row r="24" ht="14.25" customHeight="1" spans="2:53">
      <c r="B24" t="s">
        <v>557</v>
      </c>
      <c r="D24" s="40">
        <v>23</v>
      </c>
      <c r="E24" s="41" t="s">
        <v>549</v>
      </c>
      <c r="F24" s="46"/>
      <c r="G24" s="46"/>
      <c r="H24" s="46"/>
      <c r="I24" s="46"/>
      <c r="K24" s="58" t="str">
        <f t="shared" si="1"/>
        <v>RX_CoreVDD</v>
      </c>
      <c r="L24" s="56">
        <v>16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94">
        <v>109</v>
      </c>
      <c r="AT24" s="96" t="str">
        <f t="shared" si="2"/>
        <v>LVDSC_2P</v>
      </c>
      <c r="AW24" s="102"/>
      <c r="AX24" s="102"/>
      <c r="AY24" s="102"/>
      <c r="AZ24" s="102"/>
      <c r="BA24" s="102"/>
    </row>
    <row r="25" ht="14.25" customHeight="1" spans="2:53">
      <c r="B25" t="s">
        <v>558</v>
      </c>
      <c r="D25" s="40">
        <v>24</v>
      </c>
      <c r="E25" s="41" t="s">
        <v>559</v>
      </c>
      <c r="F25" s="46"/>
      <c r="G25" s="46"/>
      <c r="H25" s="46"/>
      <c r="I25" s="46"/>
      <c r="K25" s="58" t="str">
        <f t="shared" si="1"/>
        <v>GND</v>
      </c>
      <c r="L25" s="56">
        <v>17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9" t="s">
        <v>560</v>
      </c>
      <c r="AO25" s="59"/>
      <c r="AP25" s="59"/>
      <c r="AQ25" s="59"/>
      <c r="AR25" s="57"/>
      <c r="AS25" s="94">
        <v>108</v>
      </c>
      <c r="AT25" s="96" t="str">
        <f t="shared" si="2"/>
        <v>LVDSC_1N</v>
      </c>
      <c r="AW25" s="102"/>
      <c r="AX25" s="102"/>
      <c r="AY25" s="102"/>
      <c r="AZ25" s="102"/>
      <c r="BA25" s="102"/>
    </row>
    <row r="26" ht="14.25" customHeight="1" spans="1:46">
      <c r="A26" s="33">
        <v>1</v>
      </c>
      <c r="B26" s="44" t="s">
        <v>549</v>
      </c>
      <c r="D26" s="40">
        <v>25</v>
      </c>
      <c r="E26" s="41" t="s">
        <v>561</v>
      </c>
      <c r="F26" s="35"/>
      <c r="K26" s="58" t="str">
        <f t="shared" si="1"/>
        <v>RX1_HDMI_CN /RX1_DP_0P</v>
      </c>
      <c r="L26" s="56">
        <v>18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9"/>
      <c r="AO26" s="59"/>
      <c r="AP26" s="59"/>
      <c r="AQ26" s="59"/>
      <c r="AR26" s="57"/>
      <c r="AS26" s="94">
        <v>107</v>
      </c>
      <c r="AT26" s="96" t="str">
        <f t="shared" si="2"/>
        <v>LVDSC_1P</v>
      </c>
    </row>
    <row r="27" ht="14.25" customHeight="1" spans="2:46">
      <c r="B27" t="s">
        <v>559</v>
      </c>
      <c r="D27" s="40">
        <v>26</v>
      </c>
      <c r="E27" s="41" t="s">
        <v>549</v>
      </c>
      <c r="F27" s="35"/>
      <c r="K27" s="58" t="str">
        <f t="shared" si="1"/>
        <v>RX1_HDMI_CP /RX1_DP_0N</v>
      </c>
      <c r="L27" s="56">
        <v>19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84" t="s">
        <v>420</v>
      </c>
      <c r="Z27" s="85"/>
      <c r="AA27" s="85"/>
      <c r="AB27" s="85"/>
      <c r="AC27" s="85"/>
      <c r="AD27" s="85"/>
      <c r="AE27" s="85"/>
      <c r="AF27" s="85"/>
      <c r="AG27" s="85"/>
      <c r="AH27" s="85"/>
      <c r="AI27" s="57"/>
      <c r="AJ27" s="57"/>
      <c r="AK27" s="57"/>
      <c r="AL27" s="57"/>
      <c r="AM27" s="57"/>
      <c r="AN27" s="59"/>
      <c r="AO27" s="59"/>
      <c r="AP27" s="59"/>
      <c r="AQ27" s="59"/>
      <c r="AR27" s="57"/>
      <c r="AS27" s="94">
        <v>106</v>
      </c>
      <c r="AT27" s="96" t="str">
        <f t="shared" si="2"/>
        <v>LVDSC_0N</v>
      </c>
    </row>
    <row r="28" ht="14.25" customHeight="1" spans="2:46">
      <c r="B28" t="s">
        <v>561</v>
      </c>
      <c r="D28" s="40">
        <v>27</v>
      </c>
      <c r="E28" s="41" t="s">
        <v>562</v>
      </c>
      <c r="F28" s="35"/>
      <c r="G28" s="47"/>
      <c r="H28" s="47"/>
      <c r="K28" s="58" t="str">
        <f t="shared" si="1"/>
        <v>GND</v>
      </c>
      <c r="L28" s="56">
        <v>20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57"/>
      <c r="AJ28" s="57"/>
      <c r="AK28" s="57"/>
      <c r="AL28" s="57"/>
      <c r="AM28" s="57"/>
      <c r="AN28" s="59"/>
      <c r="AO28" s="59"/>
      <c r="AP28" s="59"/>
      <c r="AQ28" s="59"/>
      <c r="AR28" s="57"/>
      <c r="AS28" s="94">
        <v>105</v>
      </c>
      <c r="AT28" s="96" t="str">
        <f t="shared" si="2"/>
        <v>LVDSC_0P</v>
      </c>
    </row>
    <row r="29" ht="14.25" customHeight="1" spans="1:46">
      <c r="A29" s="33">
        <v>1</v>
      </c>
      <c r="B29" s="44" t="s">
        <v>549</v>
      </c>
      <c r="D29" s="40">
        <v>28</v>
      </c>
      <c r="E29" s="41" t="s">
        <v>563</v>
      </c>
      <c r="F29" s="35"/>
      <c r="G29" s="47"/>
      <c r="H29" s="47"/>
      <c r="K29" s="58" t="str">
        <f t="shared" si="1"/>
        <v>RX1_HDMI_0P 
/RX1_DP_1P</v>
      </c>
      <c r="L29" s="56">
        <v>21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57"/>
      <c r="AJ29" s="57"/>
      <c r="AK29" s="57"/>
      <c r="AL29" s="57"/>
      <c r="AM29" s="57"/>
      <c r="AN29" s="59" t="s">
        <v>564</v>
      </c>
      <c r="AO29" s="59"/>
      <c r="AP29" s="59"/>
      <c r="AQ29" s="59"/>
      <c r="AR29" s="57"/>
      <c r="AS29" s="94">
        <v>104</v>
      </c>
      <c r="AT29" s="96" t="str">
        <f t="shared" si="2"/>
        <v>LVDS_3V3</v>
      </c>
    </row>
    <row r="30" ht="14.25" customHeight="1" spans="2:46">
      <c r="B30" t="s">
        <v>562</v>
      </c>
      <c r="D30" s="40">
        <v>29</v>
      </c>
      <c r="E30" s="41" t="s">
        <v>540</v>
      </c>
      <c r="F30" s="35"/>
      <c r="K30" s="58" t="str">
        <f t="shared" si="1"/>
        <v>RX1_HDMI_0N 
/RX1_DP_1N</v>
      </c>
      <c r="L30" s="56">
        <v>22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57"/>
      <c r="AJ30" s="57"/>
      <c r="AK30" s="57"/>
      <c r="AL30" s="57"/>
      <c r="AM30" s="57"/>
      <c r="AN30" s="59"/>
      <c r="AO30" s="59"/>
      <c r="AP30" s="59"/>
      <c r="AQ30" s="59"/>
      <c r="AR30" s="57"/>
      <c r="AS30" s="94">
        <v>103</v>
      </c>
      <c r="AT30" s="97" t="str">
        <f t="shared" si="2"/>
        <v>LVDSB_3N</v>
      </c>
    </row>
    <row r="31" ht="15.75" spans="2:46">
      <c r="B31" t="s">
        <v>563</v>
      </c>
      <c r="D31" s="40">
        <v>30</v>
      </c>
      <c r="E31" s="41" t="s">
        <v>565</v>
      </c>
      <c r="F31" s="35"/>
      <c r="K31" s="60" t="str">
        <f t="shared" si="1"/>
        <v>GND</v>
      </c>
      <c r="L31" s="56">
        <v>23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94">
        <v>102</v>
      </c>
      <c r="AT31" s="98" t="str">
        <f t="shared" si="2"/>
        <v>LVDSB_3P</v>
      </c>
    </row>
    <row r="32" ht="15.75" spans="2:46">
      <c r="B32" t="s">
        <v>540</v>
      </c>
      <c r="C32" s="34" t="s">
        <v>566</v>
      </c>
      <c r="D32" s="40">
        <v>31</v>
      </c>
      <c r="E32" s="41" t="s">
        <v>549</v>
      </c>
      <c r="F32" s="35"/>
      <c r="K32" s="64" t="str">
        <f t="shared" si="1"/>
        <v>RX1_HDMI_1N /RX1_DP_2P</v>
      </c>
      <c r="L32" s="56">
        <v>24</v>
      </c>
      <c r="M32" s="57"/>
      <c r="N32" s="59" t="s">
        <v>567</v>
      </c>
      <c r="O32" s="59"/>
      <c r="P32" s="59"/>
      <c r="Q32" s="59"/>
      <c r="R32" s="59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94">
        <v>101</v>
      </c>
      <c r="AT32" s="99" t="str">
        <f t="shared" si="2"/>
        <v>LVDSB_2N</v>
      </c>
    </row>
    <row r="33" spans="1:46">
      <c r="A33" s="33">
        <v>1</v>
      </c>
      <c r="B33" s="44" t="s">
        <v>565</v>
      </c>
      <c r="D33" s="40">
        <v>32</v>
      </c>
      <c r="E33" s="41" t="s">
        <v>568</v>
      </c>
      <c r="F33" s="35"/>
      <c r="K33" s="55" t="str">
        <f t="shared" si="1"/>
        <v>RX1_HDMI_1P /RX1_DP_2N</v>
      </c>
      <c r="L33" s="56">
        <v>25</v>
      </c>
      <c r="M33" s="57"/>
      <c r="N33" s="59"/>
      <c r="O33" s="59"/>
      <c r="P33" s="59"/>
      <c r="Q33" s="59"/>
      <c r="R33" s="59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94">
        <v>100</v>
      </c>
      <c r="AT33" s="95" t="str">
        <f t="shared" si="2"/>
        <v>LVDSB_2P</v>
      </c>
    </row>
    <row r="34" spans="1:46">
      <c r="A34" s="33">
        <v>1</v>
      </c>
      <c r="B34" s="44" t="s">
        <v>549</v>
      </c>
      <c r="D34" s="40">
        <v>33</v>
      </c>
      <c r="E34" s="41" t="s">
        <v>569</v>
      </c>
      <c r="F34" s="35"/>
      <c r="K34" s="58" t="str">
        <f t="shared" si="1"/>
        <v>GND</v>
      </c>
      <c r="L34" s="56">
        <v>26</v>
      </c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94">
        <v>99</v>
      </c>
      <c r="AT34" s="96" t="str">
        <f t="shared" si="2"/>
        <v>LVDSB_1N</v>
      </c>
    </row>
    <row r="35" spans="2:46">
      <c r="B35" t="s">
        <v>568</v>
      </c>
      <c r="D35" s="40">
        <v>34</v>
      </c>
      <c r="E35" s="41" t="s">
        <v>549</v>
      </c>
      <c r="F35" s="35"/>
      <c r="K35" s="58" t="str">
        <f t="shared" si="1"/>
        <v>RX1_HDMI_2N /RX1_DP_3P</v>
      </c>
      <c r="L35" s="56">
        <v>27</v>
      </c>
      <c r="M35" s="57"/>
      <c r="N35" s="65"/>
      <c r="O35" s="65"/>
      <c r="P35" s="65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94">
        <v>98</v>
      </c>
      <c r="AT35" s="96" t="str">
        <f t="shared" si="2"/>
        <v>LVDSB_1P</v>
      </c>
    </row>
    <row r="36" spans="2:46">
      <c r="B36" t="s">
        <v>569</v>
      </c>
      <c r="D36" s="40">
        <v>35</v>
      </c>
      <c r="E36" s="41" t="s">
        <v>570</v>
      </c>
      <c r="F36" s="46"/>
      <c r="G36" s="46"/>
      <c r="H36" s="46"/>
      <c r="I36" s="46"/>
      <c r="K36" s="58" t="str">
        <f t="shared" si="1"/>
        <v>RX1_HDMI_2P /RX1_DP_3N</v>
      </c>
      <c r="L36" s="56">
        <v>28</v>
      </c>
      <c r="M36" s="57"/>
      <c r="N36" s="65"/>
      <c r="O36" s="65"/>
      <c r="P36" s="65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94">
        <v>97</v>
      </c>
      <c r="AT36" s="96" t="str">
        <f t="shared" si="2"/>
        <v>LVDSB_0N</v>
      </c>
    </row>
    <row r="37" spans="1:53">
      <c r="A37" s="33">
        <v>1</v>
      </c>
      <c r="B37" s="44" t="s">
        <v>549</v>
      </c>
      <c r="D37" s="40">
        <v>36</v>
      </c>
      <c r="E37" s="41" t="s">
        <v>571</v>
      </c>
      <c r="F37" s="46"/>
      <c r="G37" s="46"/>
      <c r="H37" s="46"/>
      <c r="I37" s="46"/>
      <c r="K37" s="58" t="str">
        <f t="shared" si="1"/>
        <v>RX_3V3</v>
      </c>
      <c r="L37" s="56">
        <v>29</v>
      </c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94">
        <v>96</v>
      </c>
      <c r="AT37" s="96" t="str">
        <f t="shared" si="2"/>
        <v>LVDSB_0P</v>
      </c>
      <c r="AW37" s="102"/>
      <c r="AX37" s="102"/>
      <c r="AY37" s="102"/>
      <c r="AZ37" s="102"/>
      <c r="BA37" s="102"/>
    </row>
    <row r="38" spans="2:53">
      <c r="B38" t="s">
        <v>570</v>
      </c>
      <c r="D38" s="40">
        <v>37</v>
      </c>
      <c r="E38" s="41" t="s">
        <v>549</v>
      </c>
      <c r="F38" s="35"/>
      <c r="K38" s="58" t="str">
        <f t="shared" si="1"/>
        <v>RX_DP_CoreVDD</v>
      </c>
      <c r="L38" s="56">
        <v>30</v>
      </c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94">
        <v>95</v>
      </c>
      <c r="AT38" s="96" t="str">
        <f t="shared" si="2"/>
        <v>LVDS_CoreVDD</v>
      </c>
      <c r="AW38" s="102"/>
      <c r="AX38" s="102"/>
      <c r="AY38" s="102"/>
      <c r="AZ38" s="102"/>
      <c r="BA38" s="102"/>
    </row>
    <row r="39" spans="2:46">
      <c r="B39" t="s">
        <v>571</v>
      </c>
      <c r="D39" s="40">
        <v>38</v>
      </c>
      <c r="E39" s="41" t="s">
        <v>572</v>
      </c>
      <c r="K39" s="58" t="str">
        <f t="shared" si="1"/>
        <v>GND</v>
      </c>
      <c r="L39" s="56">
        <v>31</v>
      </c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94">
        <v>94</v>
      </c>
      <c r="AT39" s="100" t="str">
        <f t="shared" si="2"/>
        <v>LVDSA_CLKN</v>
      </c>
    </row>
    <row r="40" spans="1:46">
      <c r="A40" s="33">
        <v>1</v>
      </c>
      <c r="B40" s="44" t="s">
        <v>549</v>
      </c>
      <c r="D40" s="40">
        <v>39</v>
      </c>
      <c r="E40" s="41" t="s">
        <v>573</v>
      </c>
      <c r="K40" s="58" t="str">
        <f t="shared" si="1"/>
        <v>RX2_DP_0P</v>
      </c>
      <c r="L40" s="56">
        <v>32</v>
      </c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94">
        <v>93</v>
      </c>
      <c r="AT40" s="96" t="str">
        <f t="shared" si="2"/>
        <v>LVDSA_CLKP</v>
      </c>
    </row>
    <row r="41" spans="2:46">
      <c r="B41" t="s">
        <v>572</v>
      </c>
      <c r="D41" s="40">
        <v>40</v>
      </c>
      <c r="E41" s="41" t="s">
        <v>549</v>
      </c>
      <c r="K41" s="58" t="str">
        <f t="shared" si="1"/>
        <v>RX2_DP_0N</v>
      </c>
      <c r="L41" s="56">
        <v>33</v>
      </c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94">
        <v>92</v>
      </c>
      <c r="AT41" s="96" t="str">
        <f t="shared" si="2"/>
        <v>LVDSA_3N 
/EDP_3N</v>
      </c>
    </row>
    <row r="42" spans="2:46">
      <c r="B42" t="s">
        <v>573</v>
      </c>
      <c r="D42" s="40">
        <v>41</v>
      </c>
      <c r="E42" s="41" t="s">
        <v>574</v>
      </c>
      <c r="K42" s="58" t="str">
        <f t="shared" si="1"/>
        <v>GND</v>
      </c>
      <c r="L42" s="56">
        <v>34</v>
      </c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94">
        <v>91</v>
      </c>
      <c r="AT42" s="96" t="str">
        <f t="shared" si="2"/>
        <v>LVDSA_3P 
/EDP_3P</v>
      </c>
    </row>
    <row r="43" ht="15.75" spans="1:46">
      <c r="A43" s="33">
        <v>1</v>
      </c>
      <c r="B43" s="44" t="s">
        <v>549</v>
      </c>
      <c r="D43" s="40">
        <v>42</v>
      </c>
      <c r="E43" s="41" t="s">
        <v>575</v>
      </c>
      <c r="K43" s="60" t="str">
        <f t="shared" si="1"/>
        <v>RX2_DP_1P</v>
      </c>
      <c r="L43" s="56">
        <v>35</v>
      </c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94">
        <v>90</v>
      </c>
      <c r="AT43" s="96" t="str">
        <f t="shared" si="2"/>
        <v>LVDS_3V3</v>
      </c>
    </row>
    <row r="44" ht="15.75" spans="2:46">
      <c r="B44" t="s">
        <v>574</v>
      </c>
      <c r="D44" s="40">
        <v>43</v>
      </c>
      <c r="E44" s="41" t="s">
        <v>549</v>
      </c>
      <c r="K44" s="61" t="str">
        <f t="shared" si="1"/>
        <v>RX2_DP_1N</v>
      </c>
      <c r="L44" s="56">
        <v>36</v>
      </c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94">
        <v>89</v>
      </c>
      <c r="AT44" s="97" t="str">
        <f t="shared" si="2"/>
        <v>LVDSA_2N 
/EDP_2N</v>
      </c>
    </row>
    <row r="45" spans="2:46">
      <c r="B45" t="s">
        <v>575</v>
      </c>
      <c r="D45" s="40">
        <v>44</v>
      </c>
      <c r="E45" s="41" t="s">
        <v>565</v>
      </c>
      <c r="K45" s="62" t="str">
        <f t="shared" si="1"/>
        <v>GND</v>
      </c>
      <c r="L45" s="56">
        <v>37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40">
        <v>88</v>
      </c>
      <c r="AT45" s="98" t="str">
        <f t="shared" si="2"/>
        <v>LVDSA_2P 
/EDP_2P</v>
      </c>
    </row>
    <row r="46" ht="15.75" spans="1:46">
      <c r="A46" s="33">
        <v>1</v>
      </c>
      <c r="B46" s="44" t="s">
        <v>549</v>
      </c>
      <c r="D46" s="40">
        <v>45</v>
      </c>
      <c r="E46" s="41" t="s">
        <v>576</v>
      </c>
      <c r="K46" s="63" t="str">
        <f t="shared" si="1"/>
        <v>RX2_DP_2P</v>
      </c>
      <c r="L46" s="56">
        <v>38</v>
      </c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94">
        <v>87</v>
      </c>
      <c r="AT46" s="99" t="str">
        <f t="shared" si="2"/>
        <v>LVDS_CoreVDD</v>
      </c>
    </row>
    <row r="47" spans="1:46">
      <c r="A47" s="33">
        <v>1</v>
      </c>
      <c r="B47" s="44" t="s">
        <v>565</v>
      </c>
      <c r="D47" s="40">
        <v>46</v>
      </c>
      <c r="E47" s="41" t="s">
        <v>577</v>
      </c>
      <c r="I47" s="66"/>
      <c r="K47" s="67" t="str">
        <f t="shared" si="1"/>
        <v>RX2_DP_2N</v>
      </c>
      <c r="L47" s="56">
        <v>39</v>
      </c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94">
        <v>86</v>
      </c>
      <c r="AT47" s="95" t="str">
        <f t="shared" si="2"/>
        <v>LVDSA_1N 
/EDP_1N</v>
      </c>
    </row>
    <row r="48" ht="14.25" customHeight="1" spans="4:46">
      <c r="D48" s="40">
        <v>47</v>
      </c>
      <c r="E48" s="41" t="s">
        <v>578</v>
      </c>
      <c r="I48" s="66"/>
      <c r="K48" s="68" t="str">
        <f t="shared" si="1"/>
        <v>GND</v>
      </c>
      <c r="L48" s="56">
        <v>40</v>
      </c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94">
        <v>85</v>
      </c>
      <c r="AT48" s="96" t="str">
        <f t="shared" si="2"/>
        <v>LVDSA_1P 
/EDP_1P</v>
      </c>
    </row>
    <row r="49" ht="14.25" customHeight="1" spans="2:50">
      <c r="B49" t="s">
        <v>576</v>
      </c>
      <c r="D49" s="40">
        <v>48</v>
      </c>
      <c r="E49" s="41" t="s">
        <v>579</v>
      </c>
      <c r="F49" s="48"/>
      <c r="G49" s="48"/>
      <c r="H49" s="48"/>
      <c r="I49" s="48"/>
      <c r="K49" s="61" t="str">
        <f t="shared" si="1"/>
        <v>RX2_DP_3P</v>
      </c>
      <c r="L49" s="56">
        <v>41</v>
      </c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94">
        <v>84</v>
      </c>
      <c r="AT49" s="96" t="str">
        <f t="shared" si="2"/>
        <v>LVDS_CoreVDD</v>
      </c>
      <c r="AW49" s="102"/>
      <c r="AX49" s="102"/>
    </row>
    <row r="50" ht="14.25" customHeight="1" spans="2:50">
      <c r="B50" t="s">
        <v>577</v>
      </c>
      <c r="D50" s="40">
        <v>49</v>
      </c>
      <c r="E50" s="41" t="s">
        <v>580</v>
      </c>
      <c r="F50" s="48"/>
      <c r="G50" s="48"/>
      <c r="H50" s="48"/>
      <c r="I50" s="48"/>
      <c r="K50" s="69" t="str">
        <f t="shared" si="1"/>
        <v>RX2_DP_3N</v>
      </c>
      <c r="L50" s="56">
        <v>42</v>
      </c>
      <c r="M50" s="57"/>
      <c r="N50" s="70"/>
      <c r="O50" s="70"/>
      <c r="P50" s="70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94">
        <v>83</v>
      </c>
      <c r="AT50" s="96" t="str">
        <f t="shared" si="2"/>
        <v>LVDSA_0N 
/EDP_0N</v>
      </c>
      <c r="AW50" s="102"/>
      <c r="AX50" s="102"/>
    </row>
    <row r="51" ht="14.25" customHeight="1" spans="2:46">
      <c r="B51" t="s">
        <v>578</v>
      </c>
      <c r="D51" s="40">
        <v>50</v>
      </c>
      <c r="E51" s="41" t="s">
        <v>581</v>
      </c>
      <c r="I51" s="66"/>
      <c r="K51" s="58" t="str">
        <f t="shared" si="1"/>
        <v>GND</v>
      </c>
      <c r="L51" s="56">
        <v>43</v>
      </c>
      <c r="M51" s="57"/>
      <c r="N51" s="70"/>
      <c r="O51" s="70"/>
      <c r="P51" s="70"/>
      <c r="Q51" s="57"/>
      <c r="R51" s="57"/>
      <c r="S51" s="57"/>
      <c r="T51" s="57"/>
      <c r="U51" s="57"/>
      <c r="V51" s="57"/>
      <c r="W51" s="57"/>
      <c r="X51" s="78"/>
      <c r="Y51" s="78"/>
      <c r="Z51" s="78"/>
      <c r="AA51" s="78"/>
      <c r="AB51" s="78"/>
      <c r="AC51" s="57"/>
      <c r="AD51" s="57"/>
      <c r="AE51" s="57"/>
      <c r="AF51" s="78"/>
      <c r="AG51" s="78"/>
      <c r="AH51" s="78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94">
        <v>82</v>
      </c>
      <c r="AT51" s="96" t="str">
        <f t="shared" si="2"/>
        <v>LVDSA_0P 
/EDP_0P</v>
      </c>
    </row>
    <row r="52" ht="14.25" customHeight="1" spans="2:46">
      <c r="B52" t="s">
        <v>579</v>
      </c>
      <c r="D52" s="40">
        <v>51</v>
      </c>
      <c r="E52" s="41" t="s">
        <v>582</v>
      </c>
      <c r="I52" s="66"/>
      <c r="K52" s="58" t="str">
        <f t="shared" si="1"/>
        <v>RX_DP_CoreVDD</v>
      </c>
      <c r="L52" s="56">
        <v>44</v>
      </c>
      <c r="M52" s="57"/>
      <c r="N52" s="57"/>
      <c r="O52" s="59" t="s">
        <v>583</v>
      </c>
      <c r="P52" s="59"/>
      <c r="Q52" s="59"/>
      <c r="R52" s="59" t="s">
        <v>492</v>
      </c>
      <c r="S52" s="59"/>
      <c r="T52" s="59"/>
      <c r="U52" s="57"/>
      <c r="V52" s="57"/>
      <c r="W52" s="57"/>
      <c r="X52" s="65"/>
      <c r="Y52" s="65"/>
      <c r="Z52" s="65"/>
      <c r="AA52" s="86"/>
      <c r="AB52" s="59"/>
      <c r="AC52" s="59"/>
      <c r="AD52" s="59"/>
      <c r="AE52" s="57"/>
      <c r="AF52" s="59" t="s">
        <v>484</v>
      </c>
      <c r="AG52" s="59"/>
      <c r="AH52" s="59"/>
      <c r="AI52" s="59"/>
      <c r="AJ52" s="57"/>
      <c r="AK52" s="57"/>
      <c r="AL52" s="70"/>
      <c r="AM52" s="70"/>
      <c r="AN52" s="70"/>
      <c r="AO52" s="70"/>
      <c r="AP52" s="57"/>
      <c r="AQ52" s="57"/>
      <c r="AR52" s="57"/>
      <c r="AS52" s="94">
        <v>81</v>
      </c>
      <c r="AT52" s="96" t="str">
        <f t="shared" si="2"/>
        <v>EDP_AUXN</v>
      </c>
    </row>
    <row r="53" ht="14.25" customHeight="1" spans="2:46">
      <c r="B53" t="s">
        <v>580</v>
      </c>
      <c r="D53" s="40">
        <v>52</v>
      </c>
      <c r="E53" s="41" t="s">
        <v>584</v>
      </c>
      <c r="G53" s="41" t="s">
        <v>585</v>
      </c>
      <c r="K53" s="60" t="str">
        <f t="shared" si="1"/>
        <v>LINEOUT_L 
/I2S_BCK</v>
      </c>
      <c r="L53" s="56">
        <v>45</v>
      </c>
      <c r="M53" s="57"/>
      <c r="N53" s="57"/>
      <c r="O53" s="59"/>
      <c r="P53" s="59"/>
      <c r="Q53" s="59"/>
      <c r="R53" s="59"/>
      <c r="S53" s="59"/>
      <c r="T53" s="59"/>
      <c r="U53" s="57"/>
      <c r="V53" s="57"/>
      <c r="W53" s="57"/>
      <c r="X53" s="65"/>
      <c r="Y53" s="65"/>
      <c r="Z53" s="65"/>
      <c r="AA53" s="86"/>
      <c r="AB53" s="59"/>
      <c r="AC53" s="59"/>
      <c r="AD53" s="59"/>
      <c r="AE53" s="57"/>
      <c r="AF53" s="59"/>
      <c r="AG53" s="59"/>
      <c r="AH53" s="59"/>
      <c r="AI53" s="59"/>
      <c r="AJ53" s="57"/>
      <c r="AK53" s="57"/>
      <c r="AL53" s="70"/>
      <c r="AM53" s="70"/>
      <c r="AN53" s="70"/>
      <c r="AO53" s="70"/>
      <c r="AP53" s="57"/>
      <c r="AQ53" s="57"/>
      <c r="AR53" s="57"/>
      <c r="AS53" s="94">
        <v>80</v>
      </c>
      <c r="AT53" s="96" t="str">
        <f t="shared" si="2"/>
        <v>EDP_AUXP</v>
      </c>
    </row>
    <row r="54" ht="15.75" spans="2:46">
      <c r="B54" t="s">
        <v>585</v>
      </c>
      <c r="C54" s="34" t="s">
        <v>586</v>
      </c>
      <c r="D54" s="40">
        <v>53</v>
      </c>
      <c r="E54" s="41" t="s">
        <v>587</v>
      </c>
      <c r="K54" s="61" t="str">
        <f t="shared" si="1"/>
        <v>LINEOUT_R 
/I2S_DATA</v>
      </c>
      <c r="L54" s="56">
        <v>46</v>
      </c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94">
        <v>79</v>
      </c>
      <c r="AT54" s="97" t="str">
        <f t="shared" si="2"/>
        <v>TEST0</v>
      </c>
    </row>
    <row r="55" ht="15.75" spans="1:44">
      <c r="A55" s="33">
        <v>1</v>
      </c>
      <c r="B55" s="44" t="s">
        <v>581</v>
      </c>
      <c r="C55" s="34" t="s">
        <v>588</v>
      </c>
      <c r="D55" s="40">
        <v>54</v>
      </c>
      <c r="E55" s="41" t="s">
        <v>589</v>
      </c>
      <c r="M55" s="71">
        <v>47</v>
      </c>
      <c r="N55" s="71">
        <v>48</v>
      </c>
      <c r="O55" s="71">
        <v>49</v>
      </c>
      <c r="P55" s="71">
        <v>50</v>
      </c>
      <c r="Q55" s="71">
        <v>51</v>
      </c>
      <c r="R55" s="71">
        <v>52</v>
      </c>
      <c r="S55" s="71">
        <v>53</v>
      </c>
      <c r="T55" s="71">
        <v>54</v>
      </c>
      <c r="U55" s="71">
        <v>55</v>
      </c>
      <c r="V55" s="71">
        <v>56</v>
      </c>
      <c r="W55" s="71">
        <v>57</v>
      </c>
      <c r="X55" s="71">
        <v>58</v>
      </c>
      <c r="Y55" s="71">
        <v>59</v>
      </c>
      <c r="Z55" s="71">
        <v>60</v>
      </c>
      <c r="AA55" s="71">
        <v>61</v>
      </c>
      <c r="AB55" s="71">
        <v>62</v>
      </c>
      <c r="AC55" s="71">
        <v>63</v>
      </c>
      <c r="AD55" s="71">
        <v>64</v>
      </c>
      <c r="AE55" s="71">
        <v>65</v>
      </c>
      <c r="AF55" s="71">
        <v>66</v>
      </c>
      <c r="AG55" s="71">
        <v>67</v>
      </c>
      <c r="AH55" s="71">
        <v>68</v>
      </c>
      <c r="AI55" s="71">
        <v>69</v>
      </c>
      <c r="AJ55" s="71">
        <v>70</v>
      </c>
      <c r="AK55" s="71">
        <v>71</v>
      </c>
      <c r="AL55" s="71">
        <v>72</v>
      </c>
      <c r="AM55" s="71">
        <v>73</v>
      </c>
      <c r="AN55" s="71">
        <v>74</v>
      </c>
      <c r="AO55" s="71">
        <v>75</v>
      </c>
      <c r="AP55" s="71">
        <v>76</v>
      </c>
      <c r="AQ55" s="71">
        <v>77</v>
      </c>
      <c r="AR55" s="71">
        <v>78</v>
      </c>
    </row>
    <row r="56" ht="131.1" customHeight="1" spans="1:44">
      <c r="A56" s="33">
        <v>1</v>
      </c>
      <c r="B56" s="44" t="s">
        <v>582</v>
      </c>
      <c r="D56" s="40">
        <v>55</v>
      </c>
      <c r="E56" s="41" t="s">
        <v>590</v>
      </c>
      <c r="M56" s="72" t="str">
        <f t="shared" ref="M56:AR56" si="3">VLOOKUP(M55,$D:$E,2,FALSE)</f>
        <v>EARPHONE_L 
/I2S_WS</v>
      </c>
      <c r="N56" s="73" t="str">
        <f t="shared" si="3"/>
        <v>EARPHONE_R 
/I2S_MCK</v>
      </c>
      <c r="O56" s="74" t="str">
        <f t="shared" si="3"/>
        <v>AUDIO_VMID 
/AUDIO_SPDIF</v>
      </c>
      <c r="P56" s="75" t="str">
        <f t="shared" si="3"/>
        <v>AUDIO_AVSS</v>
      </c>
      <c r="Q56" s="79" t="str">
        <f t="shared" si="3"/>
        <v>Audio_3V3</v>
      </c>
      <c r="R56" s="80" t="str">
        <f t="shared" si="3"/>
        <v>PROG_SPI_DO</v>
      </c>
      <c r="S56" s="80" t="str">
        <f t="shared" si="3"/>
        <v>PROG_SPI_DI</v>
      </c>
      <c r="T56" s="80" t="str">
        <f t="shared" si="3"/>
        <v>PROG_SPI_WP</v>
      </c>
      <c r="U56" s="80" t="str">
        <f t="shared" si="3"/>
        <v>PROG_SPI_HOLD</v>
      </c>
      <c r="V56" s="81" t="str">
        <f t="shared" si="3"/>
        <v>PROG_SPI_CLK</v>
      </c>
      <c r="W56" s="82" t="str">
        <f t="shared" si="3"/>
        <v>PROG_SPI_CS</v>
      </c>
      <c r="X56" s="72" t="str">
        <f t="shared" si="3"/>
        <v>GPIO_PWM_AO_A</v>
      </c>
      <c r="Y56" s="87" t="str">
        <f t="shared" si="3"/>
        <v>GPIO_PWM_AO_B</v>
      </c>
      <c r="Z56" s="81" t="str">
        <f t="shared" si="3"/>
        <v>GPIO_PWM_AO_C</v>
      </c>
      <c r="AA56" s="88" t="str">
        <f t="shared" si="3"/>
        <v>GPIO_PWM_AO_D</v>
      </c>
      <c r="AB56" s="73" t="str">
        <f t="shared" si="3"/>
        <v>GPIO</v>
      </c>
      <c r="AC56" s="74" t="str">
        <f t="shared" si="3"/>
        <v>GPIO</v>
      </c>
      <c r="AD56" s="74" t="str">
        <f t="shared" si="3"/>
        <v>UART0_TX</v>
      </c>
      <c r="AE56" s="74" t="str">
        <f t="shared" si="3"/>
        <v>UART0_RX</v>
      </c>
      <c r="AF56" s="74" t="str">
        <f t="shared" si="3"/>
        <v>I2C_DBG_SCL</v>
      </c>
      <c r="AG56" s="74" t="str">
        <f t="shared" si="3"/>
        <v>I2C_DBG_SDA</v>
      </c>
      <c r="AH56" s="74" t="str">
        <f t="shared" si="3"/>
        <v>SAR_ADC0</v>
      </c>
      <c r="AI56" s="75" t="str">
        <f t="shared" si="3"/>
        <v>SAR_ADC1</v>
      </c>
      <c r="AJ56" s="88" t="str">
        <f t="shared" si="3"/>
        <v>SAR_ADC2</v>
      </c>
      <c r="AK56" s="89" t="str">
        <f t="shared" si="3"/>
        <v>SAR_ADC3</v>
      </c>
      <c r="AL56" s="90" t="str">
        <f t="shared" si="3"/>
        <v>AON_CoreVDD</v>
      </c>
      <c r="AM56" s="91" t="str">
        <f t="shared" si="3"/>
        <v>XTAL_OUT</v>
      </c>
      <c r="AN56" s="91" t="str">
        <f t="shared" si="3"/>
        <v>XTAL_IN</v>
      </c>
      <c r="AO56" s="101" t="str">
        <f t="shared" si="3"/>
        <v>AON_3V3</v>
      </c>
      <c r="AP56" s="73" t="str">
        <f t="shared" si="3"/>
        <v>RSTN</v>
      </c>
      <c r="AQ56" s="75" t="str">
        <f t="shared" si="3"/>
        <v>USB0_DM</v>
      </c>
      <c r="AR56" s="82" t="str">
        <f t="shared" si="3"/>
        <v>USB0_DP</v>
      </c>
    </row>
    <row r="57" spans="2:5">
      <c r="B57" t="s">
        <v>591</v>
      </c>
      <c r="D57" s="40">
        <v>56</v>
      </c>
      <c r="E57" s="41" t="s">
        <v>591</v>
      </c>
    </row>
    <row r="58" spans="2:45">
      <c r="B58" t="s">
        <v>584</v>
      </c>
      <c r="D58" s="40">
        <v>57</v>
      </c>
      <c r="E58" s="41" t="s">
        <v>592</v>
      </c>
      <c r="U58" s="65" t="s">
        <v>492</v>
      </c>
      <c r="V58" s="65"/>
      <c r="W58" s="65"/>
      <c r="AM58" s="65" t="s">
        <v>593</v>
      </c>
      <c r="AN58" s="65"/>
      <c r="AO58" s="65"/>
      <c r="AQ58" s="65" t="s">
        <v>594</v>
      </c>
      <c r="AR58" s="65"/>
      <c r="AS58" s="65"/>
    </row>
    <row r="59" spans="2:45">
      <c r="B59" t="s">
        <v>587</v>
      </c>
      <c r="D59" s="40">
        <v>58</v>
      </c>
      <c r="E59" s="41" t="s">
        <v>595</v>
      </c>
      <c r="U59" s="65"/>
      <c r="V59" s="65"/>
      <c r="W59" s="65"/>
      <c r="AM59" s="65"/>
      <c r="AN59" s="65"/>
      <c r="AO59" s="65"/>
      <c r="AQ59" s="65"/>
      <c r="AR59" s="65"/>
      <c r="AS59" s="65"/>
    </row>
    <row r="60" ht="26.1" spans="2:42">
      <c r="B60" t="s">
        <v>589</v>
      </c>
      <c r="D60" s="40">
        <v>59</v>
      </c>
      <c r="E60" s="41" t="s">
        <v>596</v>
      </c>
      <c r="K60" s="76"/>
      <c r="AP60" s="49"/>
    </row>
    <row r="61" ht="26.1" spans="2:41">
      <c r="B61" t="s">
        <v>590</v>
      </c>
      <c r="D61" s="40">
        <v>60</v>
      </c>
      <c r="E61" s="41" t="s">
        <v>597</v>
      </c>
      <c r="O61" s="49"/>
      <c r="T61" s="66"/>
      <c r="AE61" s="49"/>
      <c r="AO61" s="49"/>
    </row>
    <row r="62" ht="26.1" spans="2:38">
      <c r="B62" t="s">
        <v>592</v>
      </c>
      <c r="D62" s="40">
        <v>61</v>
      </c>
      <c r="E62" s="41" t="s">
        <v>598</v>
      </c>
      <c r="R62" s="66"/>
      <c r="X62" s="49"/>
      <c r="AL62" s="66"/>
    </row>
    <row r="63" spans="2:9">
      <c r="B63" t="s">
        <v>599</v>
      </c>
      <c r="D63" s="40">
        <v>62</v>
      </c>
      <c r="E63" s="41" t="s">
        <v>600</v>
      </c>
      <c r="I63" s="33"/>
    </row>
    <row r="64" spans="2:9">
      <c r="B64" t="s">
        <v>601</v>
      </c>
      <c r="D64" s="40">
        <v>63</v>
      </c>
      <c r="E64" s="41" t="s">
        <v>600</v>
      </c>
      <c r="H64" s="33"/>
      <c r="I64" s="33"/>
    </row>
    <row r="65" spans="2:9">
      <c r="B65" t="s">
        <v>602</v>
      </c>
      <c r="D65" s="40">
        <v>64</v>
      </c>
      <c r="E65" s="41" t="s">
        <v>603</v>
      </c>
      <c r="H65" s="33"/>
      <c r="I65" s="33"/>
    </row>
    <row r="66" spans="2:9">
      <c r="B66" t="s">
        <v>604</v>
      </c>
      <c r="D66" s="40">
        <v>65</v>
      </c>
      <c r="E66" s="41" t="s">
        <v>605</v>
      </c>
      <c r="G66" s="33"/>
      <c r="H66" s="33"/>
      <c r="I66" s="33"/>
    </row>
    <row r="67" spans="2:8">
      <c r="B67" t="s">
        <v>606</v>
      </c>
      <c r="D67" s="40">
        <v>66</v>
      </c>
      <c r="E67" s="41" t="s">
        <v>607</v>
      </c>
      <c r="G67" s="33"/>
      <c r="H67" s="33"/>
    </row>
    <row r="68" spans="2:5">
      <c r="B68" t="s">
        <v>608</v>
      </c>
      <c r="D68" s="40">
        <v>67</v>
      </c>
      <c r="E68" s="41" t="s">
        <v>609</v>
      </c>
    </row>
    <row r="69" spans="2:5">
      <c r="B69" t="s">
        <v>610</v>
      </c>
      <c r="D69" s="40">
        <v>68</v>
      </c>
      <c r="E69" s="41" t="s">
        <v>606</v>
      </c>
    </row>
    <row r="70" spans="2:5">
      <c r="B70" t="s">
        <v>611</v>
      </c>
      <c r="D70" s="40">
        <v>69</v>
      </c>
      <c r="E70" s="41" t="s">
        <v>608</v>
      </c>
    </row>
    <row r="71" spans="1:5">
      <c r="A71" s="33">
        <v>1</v>
      </c>
      <c r="B71" s="44" t="s">
        <v>612</v>
      </c>
      <c r="D71" s="40">
        <v>70</v>
      </c>
      <c r="E71" s="41" t="s">
        <v>610</v>
      </c>
    </row>
    <row r="72" spans="1:5">
      <c r="A72" s="33">
        <v>1</v>
      </c>
      <c r="B72" s="44" t="s">
        <v>613</v>
      </c>
      <c r="D72" s="40">
        <v>71</v>
      </c>
      <c r="E72" s="41" t="s">
        <v>611</v>
      </c>
    </row>
    <row r="73" spans="2:5">
      <c r="B73" s="33" t="s">
        <v>600</v>
      </c>
      <c r="D73" s="40">
        <v>72</v>
      </c>
      <c r="E73" s="41" t="s">
        <v>612</v>
      </c>
    </row>
    <row r="74" spans="2:5">
      <c r="B74" s="33" t="s">
        <v>600</v>
      </c>
      <c r="D74" s="40">
        <v>73</v>
      </c>
      <c r="E74" s="41" t="s">
        <v>614</v>
      </c>
    </row>
    <row r="75" spans="2:5">
      <c r="B75" t="s">
        <v>615</v>
      </c>
      <c r="D75" s="40">
        <v>74</v>
      </c>
      <c r="E75" s="41" t="s">
        <v>616</v>
      </c>
    </row>
    <row r="76" spans="2:5">
      <c r="B76" t="s">
        <v>614</v>
      </c>
      <c r="D76" s="40">
        <v>75</v>
      </c>
      <c r="E76" s="41" t="s">
        <v>613</v>
      </c>
    </row>
    <row r="77" spans="2:5">
      <c r="B77" t="s">
        <v>616</v>
      </c>
      <c r="D77" s="40">
        <v>76</v>
      </c>
      <c r="E77" s="41" t="s">
        <v>615</v>
      </c>
    </row>
    <row r="78" spans="2:5">
      <c r="B78" t="s">
        <v>617</v>
      </c>
      <c r="D78" s="40">
        <v>77</v>
      </c>
      <c r="E78" s="41" t="s">
        <v>618</v>
      </c>
    </row>
    <row r="79" spans="2:5">
      <c r="B79" t="s">
        <v>618</v>
      </c>
      <c r="C79" s="34" t="s">
        <v>619</v>
      </c>
      <c r="D79" s="40">
        <v>78</v>
      </c>
      <c r="E79" s="41" t="s">
        <v>620</v>
      </c>
    </row>
    <row r="80" spans="2:5">
      <c r="B80" t="s">
        <v>620</v>
      </c>
      <c r="D80" s="40">
        <v>79</v>
      </c>
      <c r="E80" s="41" t="s">
        <v>617</v>
      </c>
    </row>
    <row r="81" spans="2:5">
      <c r="B81" s="33"/>
      <c r="D81" s="40">
        <v>80</v>
      </c>
      <c r="E81" s="41" t="s">
        <v>621</v>
      </c>
    </row>
    <row r="82" spans="2:5">
      <c r="B82" s="33"/>
      <c r="D82" s="40">
        <v>81</v>
      </c>
      <c r="E82" s="41" t="s">
        <v>622</v>
      </c>
    </row>
    <row r="83" spans="2:5">
      <c r="B83" s="33"/>
      <c r="D83" s="40">
        <v>82</v>
      </c>
      <c r="E83" s="41" t="s">
        <v>623</v>
      </c>
    </row>
    <row r="84" spans="2:5">
      <c r="B84" t="s">
        <v>621</v>
      </c>
      <c r="D84" s="40">
        <v>83</v>
      </c>
      <c r="E84" s="41" t="s">
        <v>624</v>
      </c>
    </row>
    <row r="85" spans="2:5">
      <c r="B85" t="s">
        <v>622</v>
      </c>
      <c r="D85" s="40">
        <v>84</v>
      </c>
      <c r="E85" s="41" t="s">
        <v>625</v>
      </c>
    </row>
    <row r="86" spans="2:5">
      <c r="B86" t="s">
        <v>623</v>
      </c>
      <c r="D86" s="40">
        <v>85</v>
      </c>
      <c r="E86" s="41" t="s">
        <v>626</v>
      </c>
    </row>
    <row r="87" spans="2:5">
      <c r="B87" t="s">
        <v>624</v>
      </c>
      <c r="C87" s="33"/>
      <c r="D87" s="40">
        <v>86</v>
      </c>
      <c r="E87" s="41" t="s">
        <v>627</v>
      </c>
    </row>
    <row r="88" spans="1:5">
      <c r="A88" s="33">
        <v>1</v>
      </c>
      <c r="B88" s="44" t="s">
        <v>625</v>
      </c>
      <c r="D88" s="40">
        <v>87</v>
      </c>
      <c r="E88" s="41" t="s">
        <v>625</v>
      </c>
    </row>
    <row r="89" spans="2:5">
      <c r="B89" t="s">
        <v>626</v>
      </c>
      <c r="D89" s="40">
        <v>88</v>
      </c>
      <c r="E89" s="41" t="s">
        <v>628</v>
      </c>
    </row>
    <row r="90" spans="2:11">
      <c r="B90" t="s">
        <v>627</v>
      </c>
      <c r="D90" s="40">
        <v>89</v>
      </c>
      <c r="E90" s="41" t="s">
        <v>629</v>
      </c>
      <c r="K90" s="33"/>
    </row>
    <row r="91" spans="1:5">
      <c r="A91" s="33">
        <v>1</v>
      </c>
      <c r="B91" s="44" t="s">
        <v>625</v>
      </c>
      <c r="D91" s="40">
        <v>90</v>
      </c>
      <c r="E91" s="41" t="s">
        <v>630</v>
      </c>
    </row>
    <row r="92" spans="2:11">
      <c r="B92" t="s">
        <v>628</v>
      </c>
      <c r="D92" s="40">
        <v>91</v>
      </c>
      <c r="E92" s="41" t="s">
        <v>631</v>
      </c>
      <c r="K92" s="33"/>
    </row>
    <row r="93" spans="2:5">
      <c r="B93" t="s">
        <v>629</v>
      </c>
      <c r="D93" s="40">
        <v>92</v>
      </c>
      <c r="E93" s="41" t="s">
        <v>632</v>
      </c>
    </row>
    <row r="94" spans="1:5">
      <c r="A94" s="33">
        <v>1</v>
      </c>
      <c r="B94" s="44" t="s">
        <v>630</v>
      </c>
      <c r="D94" s="40">
        <v>93</v>
      </c>
      <c r="E94" s="41" t="s">
        <v>633</v>
      </c>
    </row>
    <row r="95" spans="2:5">
      <c r="B95" t="s">
        <v>631</v>
      </c>
      <c r="D95" s="40">
        <v>94</v>
      </c>
      <c r="E95" s="41" t="s">
        <v>634</v>
      </c>
    </row>
    <row r="96" spans="2:5">
      <c r="B96" t="s">
        <v>632</v>
      </c>
      <c r="D96" s="40">
        <v>95</v>
      </c>
      <c r="E96" s="41" t="s">
        <v>625</v>
      </c>
    </row>
    <row r="97" spans="2:5">
      <c r="B97" t="s">
        <v>633</v>
      </c>
      <c r="D97" s="40">
        <v>96</v>
      </c>
      <c r="E97" s="41" t="s">
        <v>635</v>
      </c>
    </row>
    <row r="98" spans="2:5">
      <c r="B98" t="s">
        <v>634</v>
      </c>
      <c r="D98" s="40">
        <v>97</v>
      </c>
      <c r="E98" s="41" t="s">
        <v>636</v>
      </c>
    </row>
    <row r="99" spans="1:5">
      <c r="A99" s="33">
        <v>1</v>
      </c>
      <c r="B99" s="44" t="s">
        <v>625</v>
      </c>
      <c r="D99" s="40">
        <v>98</v>
      </c>
      <c r="E99" s="41" t="s">
        <v>637</v>
      </c>
    </row>
    <row r="100" spans="2:5">
      <c r="B100" t="s">
        <v>635</v>
      </c>
      <c r="D100" s="40">
        <v>99</v>
      </c>
      <c r="E100" s="41" t="s">
        <v>638</v>
      </c>
    </row>
    <row r="101" spans="2:5">
      <c r="B101" t="s">
        <v>636</v>
      </c>
      <c r="D101" s="40">
        <v>100</v>
      </c>
      <c r="E101" s="41" t="s">
        <v>639</v>
      </c>
    </row>
    <row r="102" spans="2:5">
      <c r="B102" t="s">
        <v>637</v>
      </c>
      <c r="D102" s="40">
        <v>101</v>
      </c>
      <c r="E102" s="41" t="s">
        <v>640</v>
      </c>
    </row>
    <row r="103" spans="2:5">
      <c r="B103" t="s">
        <v>638</v>
      </c>
      <c r="D103" s="40">
        <v>102</v>
      </c>
      <c r="E103" s="41" t="s">
        <v>641</v>
      </c>
    </row>
    <row r="104" spans="2:5">
      <c r="B104" t="s">
        <v>639</v>
      </c>
      <c r="D104" s="40">
        <v>103</v>
      </c>
      <c r="E104" s="41" t="s">
        <v>642</v>
      </c>
    </row>
    <row r="105" spans="2:5">
      <c r="B105" t="s">
        <v>640</v>
      </c>
      <c r="D105" s="40">
        <v>104</v>
      </c>
      <c r="E105" s="41" t="s">
        <v>630</v>
      </c>
    </row>
    <row r="106" spans="2:5">
      <c r="B106" t="s">
        <v>641</v>
      </c>
      <c r="D106" s="40">
        <v>105</v>
      </c>
      <c r="E106" s="41" t="s">
        <v>643</v>
      </c>
    </row>
    <row r="107" spans="2:5">
      <c r="B107" t="s">
        <v>642</v>
      </c>
      <c r="D107" s="40">
        <v>106</v>
      </c>
      <c r="E107" s="41" t="s">
        <v>644</v>
      </c>
    </row>
    <row r="108" spans="1:5">
      <c r="A108" s="33">
        <v>1</v>
      </c>
      <c r="B108" s="44" t="s">
        <v>630</v>
      </c>
      <c r="D108" s="40">
        <v>107</v>
      </c>
      <c r="E108" s="41" t="s">
        <v>645</v>
      </c>
    </row>
    <row r="109" spans="2:5">
      <c r="B109" t="s">
        <v>643</v>
      </c>
      <c r="D109" s="40">
        <v>108</v>
      </c>
      <c r="E109" s="41" t="s">
        <v>646</v>
      </c>
    </row>
    <row r="110" spans="2:5">
      <c r="B110" t="s">
        <v>644</v>
      </c>
      <c r="D110" s="40">
        <v>109</v>
      </c>
      <c r="E110" s="41" t="s">
        <v>647</v>
      </c>
    </row>
    <row r="111" spans="2:5">
      <c r="B111" t="s">
        <v>645</v>
      </c>
      <c r="D111" s="40">
        <v>110</v>
      </c>
      <c r="E111" s="41" t="s">
        <v>648</v>
      </c>
    </row>
    <row r="112" spans="2:5">
      <c r="B112" t="s">
        <v>646</v>
      </c>
      <c r="D112" s="40">
        <v>111</v>
      </c>
      <c r="E112" s="41" t="s">
        <v>649</v>
      </c>
    </row>
    <row r="113" spans="2:5">
      <c r="B113" t="s">
        <v>647</v>
      </c>
      <c r="D113" s="40">
        <v>112</v>
      </c>
      <c r="E113" s="41" t="s">
        <v>650</v>
      </c>
    </row>
    <row r="114" spans="2:5">
      <c r="B114" t="s">
        <v>648</v>
      </c>
      <c r="D114" s="40">
        <v>113</v>
      </c>
      <c r="E114" s="41" t="s">
        <v>625</v>
      </c>
    </row>
    <row r="115" spans="2:5">
      <c r="B115" t="s">
        <v>649</v>
      </c>
      <c r="D115" s="40">
        <v>114</v>
      </c>
      <c r="E115" s="41" t="s">
        <v>651</v>
      </c>
    </row>
    <row r="116" spans="2:5">
      <c r="B116" t="s">
        <v>650</v>
      </c>
      <c r="D116" s="40">
        <v>115</v>
      </c>
      <c r="E116" s="41" t="s">
        <v>652</v>
      </c>
    </row>
    <row r="117" spans="1:5">
      <c r="A117" s="33">
        <v>1</v>
      </c>
      <c r="B117" s="44" t="s">
        <v>625</v>
      </c>
      <c r="D117" s="40">
        <v>116</v>
      </c>
      <c r="E117" s="41" t="s">
        <v>653</v>
      </c>
    </row>
    <row r="118" spans="2:5">
      <c r="B118" t="s">
        <v>651</v>
      </c>
      <c r="D118" s="40">
        <v>117</v>
      </c>
      <c r="E118" s="41" t="s">
        <v>654</v>
      </c>
    </row>
    <row r="119" spans="2:5">
      <c r="B119" t="s">
        <v>652</v>
      </c>
      <c r="D119" s="40">
        <v>118</v>
      </c>
      <c r="E119" s="41" t="s">
        <v>655</v>
      </c>
    </row>
    <row r="120" spans="2:5">
      <c r="B120" t="s">
        <v>653</v>
      </c>
      <c r="D120" s="40">
        <v>119</v>
      </c>
      <c r="E120" s="41" t="s">
        <v>656</v>
      </c>
    </row>
    <row r="121" spans="2:5">
      <c r="B121" t="s">
        <v>654</v>
      </c>
      <c r="D121" s="40">
        <v>120</v>
      </c>
      <c r="E121" s="41" t="s">
        <v>657</v>
      </c>
    </row>
    <row r="122" spans="2:5">
      <c r="B122" t="s">
        <v>655</v>
      </c>
      <c r="D122" s="40">
        <v>121</v>
      </c>
      <c r="E122" s="41" t="s">
        <v>658</v>
      </c>
    </row>
    <row r="123" spans="2:5">
      <c r="B123" t="s">
        <v>656</v>
      </c>
      <c r="D123" s="40">
        <v>122</v>
      </c>
      <c r="E123" s="41" t="s">
        <v>659</v>
      </c>
    </row>
    <row r="124" spans="2:5">
      <c r="B124" t="s">
        <v>657</v>
      </c>
      <c r="D124" s="40">
        <v>123</v>
      </c>
      <c r="E124" s="41" t="s">
        <v>660</v>
      </c>
    </row>
    <row r="125" spans="2:5">
      <c r="B125" t="s">
        <v>658</v>
      </c>
      <c r="D125" s="40">
        <v>124</v>
      </c>
      <c r="E125" s="41" t="s">
        <v>630</v>
      </c>
    </row>
    <row r="126" spans="2:5">
      <c r="B126" t="s">
        <v>659</v>
      </c>
      <c r="D126" s="40">
        <v>125</v>
      </c>
      <c r="E126" s="41" t="s">
        <v>661</v>
      </c>
    </row>
    <row r="127" spans="2:5">
      <c r="B127" t="s">
        <v>660</v>
      </c>
      <c r="D127" s="40">
        <v>126</v>
      </c>
      <c r="E127" s="41" t="s">
        <v>662</v>
      </c>
    </row>
    <row r="128" spans="1:5">
      <c r="A128" s="33">
        <v>1</v>
      </c>
      <c r="B128" s="44" t="s">
        <v>630</v>
      </c>
      <c r="D128" s="40">
        <v>127</v>
      </c>
      <c r="E128" s="41" t="s">
        <v>663</v>
      </c>
    </row>
    <row r="129" spans="2:5">
      <c r="B129" t="s">
        <v>661</v>
      </c>
      <c r="D129" s="40">
        <v>128</v>
      </c>
      <c r="E129" s="41" t="s">
        <v>664</v>
      </c>
    </row>
    <row r="130" spans="2:5">
      <c r="B130" s="33"/>
      <c r="D130" s="40">
        <v>129</v>
      </c>
      <c r="E130" s="41" t="s">
        <v>665</v>
      </c>
    </row>
    <row r="131" spans="2:5">
      <c r="B131" s="33"/>
      <c r="D131" s="40">
        <v>130</v>
      </c>
      <c r="E131" s="41" t="s">
        <v>666</v>
      </c>
    </row>
    <row r="132" spans="2:5">
      <c r="B132" t="s">
        <v>662</v>
      </c>
      <c r="D132" s="40">
        <v>131</v>
      </c>
      <c r="E132" s="41" t="s">
        <v>667</v>
      </c>
    </row>
    <row r="133" spans="2:5">
      <c r="B133" t="s">
        <v>663</v>
      </c>
      <c r="D133" s="40">
        <v>132</v>
      </c>
      <c r="E133" s="41" t="s">
        <v>668</v>
      </c>
    </row>
    <row r="134" spans="2:5">
      <c r="B134" t="s">
        <v>664</v>
      </c>
      <c r="D134" s="40">
        <v>133</v>
      </c>
      <c r="E134" s="41" t="s">
        <v>669</v>
      </c>
    </row>
    <row r="135" spans="2:5">
      <c r="B135" t="s">
        <v>665</v>
      </c>
      <c r="D135" s="40">
        <v>134</v>
      </c>
      <c r="E135" s="41" t="s">
        <v>670</v>
      </c>
    </row>
    <row r="136" spans="2:5">
      <c r="B136" t="s">
        <v>666</v>
      </c>
      <c r="D136" s="40">
        <v>135</v>
      </c>
      <c r="E136" s="41" t="s">
        <v>671</v>
      </c>
    </row>
    <row r="137" spans="2:5">
      <c r="B137" t="s">
        <v>667</v>
      </c>
      <c r="D137" s="40">
        <v>136</v>
      </c>
      <c r="E137" s="41" t="s">
        <v>672</v>
      </c>
    </row>
    <row r="138" spans="2:5">
      <c r="B138" t="s">
        <v>668</v>
      </c>
      <c r="D138" s="40">
        <v>137</v>
      </c>
      <c r="E138" s="41" t="s">
        <v>673</v>
      </c>
    </row>
    <row r="139" spans="2:5">
      <c r="B139" t="s">
        <v>669</v>
      </c>
      <c r="D139" s="40">
        <v>138</v>
      </c>
      <c r="E139" s="41" t="s">
        <v>674</v>
      </c>
    </row>
    <row r="140" spans="2:5">
      <c r="B140" t="s">
        <v>670</v>
      </c>
      <c r="D140" s="40">
        <v>139</v>
      </c>
      <c r="E140" s="41" t="s">
        <v>675</v>
      </c>
    </row>
    <row r="141" spans="2:5">
      <c r="B141" t="s">
        <v>671</v>
      </c>
      <c r="D141" s="40">
        <v>140</v>
      </c>
      <c r="E141" s="41" t="s">
        <v>676</v>
      </c>
    </row>
    <row r="142" spans="2:5">
      <c r="B142" t="s">
        <v>672</v>
      </c>
      <c r="D142" s="40">
        <v>141</v>
      </c>
      <c r="E142" s="41" t="s">
        <v>677</v>
      </c>
    </row>
    <row r="143" spans="1:11">
      <c r="A143" s="33">
        <v>1</v>
      </c>
      <c r="B143" s="42" t="s">
        <v>673</v>
      </c>
      <c r="D143" s="40">
        <v>142</v>
      </c>
      <c r="E143" s="41" t="s">
        <v>678</v>
      </c>
      <c r="K143" s="33"/>
    </row>
    <row r="144" spans="2:11">
      <c r="B144" t="s">
        <v>674</v>
      </c>
      <c r="D144" s="40">
        <v>143</v>
      </c>
      <c r="E144" s="41" t="s">
        <v>679</v>
      </c>
      <c r="K144" s="33"/>
    </row>
    <row r="145" spans="2:11">
      <c r="B145" t="s">
        <v>675</v>
      </c>
      <c r="D145" s="40">
        <v>144</v>
      </c>
      <c r="E145" s="41" t="s">
        <v>680</v>
      </c>
      <c r="K145" s="33"/>
    </row>
    <row r="146" spans="2:11">
      <c r="B146" t="s">
        <v>676</v>
      </c>
      <c r="D146" s="40">
        <v>145</v>
      </c>
      <c r="E146" s="41" t="s">
        <v>681</v>
      </c>
      <c r="K146" s="33"/>
    </row>
    <row r="147" spans="2:11">
      <c r="B147" t="s">
        <v>677</v>
      </c>
      <c r="D147" s="40">
        <v>146</v>
      </c>
      <c r="E147" s="41" t="s">
        <v>682</v>
      </c>
      <c r="K147" s="33"/>
    </row>
    <row r="148" spans="1:11">
      <c r="A148" s="33">
        <v>1</v>
      </c>
      <c r="B148" s="42" t="s">
        <v>678</v>
      </c>
      <c r="D148" s="40">
        <v>147</v>
      </c>
      <c r="E148" s="41" t="s">
        <v>683</v>
      </c>
      <c r="K148" s="33"/>
    </row>
    <row r="149" spans="2:11">
      <c r="B149" t="s">
        <v>607</v>
      </c>
      <c r="D149" s="40">
        <v>148</v>
      </c>
      <c r="E149" s="41" t="s">
        <v>684</v>
      </c>
      <c r="K149" s="33"/>
    </row>
    <row r="150" spans="2:11">
      <c r="B150" t="s">
        <v>609</v>
      </c>
      <c r="D150" s="40">
        <v>149</v>
      </c>
      <c r="E150" s="33" t="s">
        <v>685</v>
      </c>
      <c r="K150" s="33"/>
    </row>
    <row r="151" spans="2:11">
      <c r="B151" t="s">
        <v>679</v>
      </c>
      <c r="D151" s="40">
        <v>150</v>
      </c>
      <c r="E151" s="41" t="s">
        <v>686</v>
      </c>
      <c r="G151" s="33"/>
      <c r="K151" s="33"/>
    </row>
    <row r="152" spans="2:11">
      <c r="B152" t="s">
        <v>680</v>
      </c>
      <c r="D152" s="40">
        <v>151</v>
      </c>
      <c r="E152" s="41" t="s">
        <v>687</v>
      </c>
      <c r="G152" s="33"/>
      <c r="K152" s="33"/>
    </row>
    <row r="153" spans="2:5">
      <c r="B153" t="s">
        <v>681</v>
      </c>
      <c r="D153" s="40">
        <v>152</v>
      </c>
      <c r="E153" s="41" t="s">
        <v>688</v>
      </c>
    </row>
    <row r="154" spans="2:5">
      <c r="B154" t="s">
        <v>682</v>
      </c>
      <c r="D154" s="40">
        <v>153</v>
      </c>
      <c r="E154" s="41" t="s">
        <v>689</v>
      </c>
    </row>
    <row r="155" spans="2:5">
      <c r="B155" t="s">
        <v>605</v>
      </c>
      <c r="D155" s="40">
        <v>154</v>
      </c>
      <c r="E155" s="41" t="s">
        <v>690</v>
      </c>
    </row>
    <row r="156" spans="2:5">
      <c r="B156" t="s">
        <v>603</v>
      </c>
      <c r="D156" s="40">
        <v>155</v>
      </c>
      <c r="E156" s="41" t="s">
        <v>532</v>
      </c>
    </row>
    <row r="157" spans="2:5">
      <c r="B157" t="s">
        <v>683</v>
      </c>
      <c r="D157" s="40">
        <v>156</v>
      </c>
      <c r="E157" s="41" t="s">
        <v>534</v>
      </c>
    </row>
    <row r="158" spans="2:5">
      <c r="B158" t="s">
        <v>684</v>
      </c>
      <c r="D158" s="40"/>
      <c r="E158" s="41"/>
    </row>
    <row r="159" spans="2:5">
      <c r="B159" t="s">
        <v>686</v>
      </c>
      <c r="D159" s="40"/>
      <c r="E159" s="41"/>
    </row>
    <row r="160" spans="2:5">
      <c r="B160" t="s">
        <v>687</v>
      </c>
      <c r="D160" s="40"/>
      <c r="E160" s="41"/>
    </row>
    <row r="161" spans="2:5">
      <c r="B161" t="s">
        <v>688</v>
      </c>
      <c r="D161" s="40"/>
      <c r="E161" s="41"/>
    </row>
    <row r="162" spans="2:5">
      <c r="B162" t="s">
        <v>689</v>
      </c>
      <c r="D162" s="40"/>
      <c r="E162" s="41"/>
    </row>
    <row r="163" spans="2:5">
      <c r="B163" t="s">
        <v>690</v>
      </c>
      <c r="D163" s="40"/>
      <c r="E163" s="41"/>
    </row>
    <row r="164" spans="2:5">
      <c r="B164" s="33"/>
      <c r="D164" s="40"/>
      <c r="E164" s="41"/>
    </row>
    <row r="165" spans="2:5">
      <c r="B165" s="33"/>
      <c r="D165" s="40"/>
      <c r="E165" s="41"/>
    </row>
    <row r="166" spans="2:5">
      <c r="B166" s="33"/>
      <c r="D166" s="40"/>
      <c r="E166" s="41"/>
    </row>
    <row r="167" spans="2:5">
      <c r="B167" s="33"/>
      <c r="D167" s="40"/>
      <c r="E167" s="41"/>
    </row>
    <row r="168" spans="2:5">
      <c r="B168" s="33"/>
      <c r="D168" s="40"/>
      <c r="E168" s="41"/>
    </row>
    <row r="169" spans="2:5">
      <c r="B169" s="33"/>
      <c r="D169" s="40"/>
      <c r="E169" s="41"/>
    </row>
    <row r="170" spans="2:5">
      <c r="B170" s="33"/>
      <c r="D170" s="40"/>
      <c r="E170" s="41"/>
    </row>
    <row r="171" spans="2:5">
      <c r="B171" s="33"/>
      <c r="D171" s="40"/>
      <c r="E171" s="41"/>
    </row>
    <row r="172" spans="2:5">
      <c r="B172" s="33"/>
      <c r="D172" s="40"/>
      <c r="E172" s="41"/>
    </row>
    <row r="173" spans="2:5">
      <c r="B173" s="33"/>
      <c r="D173" s="40"/>
      <c r="E173" s="41"/>
    </row>
    <row r="174" spans="2:5">
      <c r="B174" s="33"/>
      <c r="D174" s="40"/>
      <c r="E174" s="41"/>
    </row>
    <row r="175" spans="2:5">
      <c r="B175" s="33"/>
      <c r="D175" s="40"/>
      <c r="E175" s="41"/>
    </row>
    <row r="176" spans="2:5">
      <c r="B176" s="33"/>
      <c r="D176" s="40"/>
      <c r="E176" s="41"/>
    </row>
    <row r="177" s="33" customFormat="1" ht="14.1" spans="3:155">
      <c r="C177" s="34"/>
      <c r="D177" s="40"/>
      <c r="E177" s="41"/>
      <c r="G177" s="35"/>
      <c r="H177" s="35"/>
      <c r="I177" s="35"/>
      <c r="J177" s="35"/>
      <c r="K177" s="36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4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/>
      <c r="DR177" s="35"/>
      <c r="DS177" s="35"/>
      <c r="DT177" s="35"/>
      <c r="DU177" s="35"/>
      <c r="DV177" s="35"/>
      <c r="DW177" s="35"/>
      <c r="DX177" s="35"/>
      <c r="DY177" s="35"/>
      <c r="DZ177" s="35"/>
      <c r="EA177" s="35"/>
      <c r="EB177" s="35"/>
      <c r="EC177" s="35"/>
      <c r="ED177" s="35"/>
      <c r="EE177" s="35"/>
      <c r="EF177" s="35"/>
      <c r="EG177" s="35"/>
      <c r="EH177" s="35"/>
      <c r="EI177" s="35"/>
      <c r="EJ177" s="35"/>
      <c r="EK177" s="35"/>
      <c r="EL177" s="35"/>
      <c r="EM177" s="35"/>
      <c r="EN177" s="35"/>
      <c r="EO177" s="35"/>
      <c r="EP177" s="35"/>
      <c r="EQ177" s="35"/>
      <c r="ER177" s="35"/>
      <c r="ES177" s="35"/>
      <c r="ET177" s="35"/>
      <c r="EU177" s="35"/>
      <c r="EV177" s="35"/>
      <c r="EW177" s="35"/>
      <c r="EX177" s="35"/>
      <c r="EY177" s="35"/>
    </row>
    <row r="178" s="33" customFormat="1" ht="14.1" spans="3:155">
      <c r="C178" s="34"/>
      <c r="D178" s="40"/>
      <c r="E178" s="41"/>
      <c r="G178" s="35"/>
      <c r="H178" s="35"/>
      <c r="I178" s="35"/>
      <c r="J178" s="35"/>
      <c r="K178" s="36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4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</row>
    <row r="179" s="33" customFormat="1" ht="14.1" spans="3:155">
      <c r="C179" s="34"/>
      <c r="D179" s="40"/>
      <c r="E179" s="41"/>
      <c r="G179" s="35"/>
      <c r="H179" s="35"/>
      <c r="I179" s="35"/>
      <c r="J179" s="35"/>
      <c r="K179" s="36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4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35"/>
      <c r="DR179" s="35"/>
      <c r="DS179" s="35"/>
      <c r="DT179" s="35"/>
      <c r="DU179" s="35"/>
      <c r="DV179" s="35"/>
      <c r="DW179" s="35"/>
      <c r="DX179" s="35"/>
      <c r="DY179" s="35"/>
      <c r="DZ179" s="35"/>
      <c r="EA179" s="35"/>
      <c r="EB179" s="35"/>
      <c r="EC179" s="35"/>
      <c r="ED179" s="35"/>
      <c r="EE179" s="35"/>
      <c r="EF179" s="35"/>
      <c r="EG179" s="35"/>
      <c r="EH179" s="35"/>
      <c r="EI179" s="35"/>
      <c r="EJ179" s="35"/>
      <c r="EK179" s="35"/>
      <c r="EL179" s="35"/>
      <c r="EM179" s="35"/>
      <c r="EN179" s="35"/>
      <c r="EO179" s="35"/>
      <c r="EP179" s="35"/>
      <c r="EQ179" s="35"/>
      <c r="ER179" s="35"/>
      <c r="ES179" s="35"/>
      <c r="ET179" s="35"/>
      <c r="EU179" s="35"/>
      <c r="EV179" s="35"/>
      <c r="EW179" s="35"/>
      <c r="EX179" s="35"/>
      <c r="EY179" s="35"/>
    </row>
    <row r="180" s="33" customFormat="1" ht="14.1" spans="3:155">
      <c r="C180" s="34"/>
      <c r="D180" s="40"/>
      <c r="E180" s="41"/>
      <c r="G180" s="35"/>
      <c r="H180" s="35"/>
      <c r="I180" s="35"/>
      <c r="J180" s="35"/>
      <c r="K180" s="36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4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35"/>
      <c r="DX180" s="35"/>
      <c r="DY180" s="35"/>
      <c r="DZ180" s="35"/>
      <c r="EA180" s="35"/>
      <c r="EB180" s="35"/>
      <c r="EC180" s="35"/>
      <c r="ED180" s="35"/>
      <c r="EE180" s="35"/>
      <c r="EF180" s="35"/>
      <c r="EG180" s="35"/>
      <c r="EH180" s="35"/>
      <c r="EI180" s="35"/>
      <c r="EJ180" s="35"/>
      <c r="EK180" s="35"/>
      <c r="EL180" s="35"/>
      <c r="EM180" s="35"/>
      <c r="EN180" s="35"/>
      <c r="EO180" s="35"/>
      <c r="EP180" s="35"/>
      <c r="EQ180" s="35"/>
      <c r="ER180" s="35"/>
      <c r="ES180" s="35"/>
      <c r="ET180" s="35"/>
      <c r="EU180" s="35"/>
      <c r="EV180" s="35"/>
      <c r="EW180" s="35"/>
      <c r="EX180" s="35"/>
      <c r="EY180" s="35"/>
    </row>
    <row r="181" s="33" customFormat="1" ht="14.1" spans="3:155">
      <c r="C181" s="34"/>
      <c r="D181" s="40"/>
      <c r="E181" s="41"/>
      <c r="G181" s="35"/>
      <c r="H181" s="35"/>
      <c r="I181" s="35"/>
      <c r="J181" s="35"/>
      <c r="K181" s="36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4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35"/>
      <c r="DX181" s="35"/>
      <c r="DY181" s="35"/>
      <c r="DZ181" s="35"/>
      <c r="EA181" s="35"/>
      <c r="EB181" s="35"/>
      <c r="EC181" s="35"/>
      <c r="ED181" s="35"/>
      <c r="EE181" s="35"/>
      <c r="EF181" s="35"/>
      <c r="EG181" s="35"/>
      <c r="EH181" s="35"/>
      <c r="EI181" s="35"/>
      <c r="EJ181" s="35"/>
      <c r="EK181" s="35"/>
      <c r="EL181" s="35"/>
      <c r="EM181" s="35"/>
      <c r="EN181" s="35"/>
      <c r="EO181" s="35"/>
      <c r="EP181" s="35"/>
      <c r="EQ181" s="35"/>
      <c r="ER181" s="35"/>
      <c r="ES181" s="35"/>
      <c r="ET181" s="35"/>
      <c r="EU181" s="35"/>
      <c r="EV181" s="35"/>
      <c r="EW181" s="35"/>
      <c r="EX181" s="35"/>
      <c r="EY181" s="35"/>
    </row>
    <row r="182" s="33" customFormat="1" ht="14.1" spans="3:155">
      <c r="C182" s="34"/>
      <c r="D182" s="40"/>
      <c r="E182" s="41"/>
      <c r="G182" s="35"/>
      <c r="H182" s="35"/>
      <c r="I182" s="35"/>
      <c r="J182" s="35"/>
      <c r="K182" s="36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4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DR182" s="35"/>
      <c r="DS182" s="35"/>
      <c r="DT182" s="35"/>
      <c r="DU182" s="35"/>
      <c r="DV182" s="35"/>
      <c r="DW182" s="35"/>
      <c r="DX182" s="35"/>
      <c r="DY182" s="35"/>
      <c r="DZ182" s="35"/>
      <c r="EA182" s="35"/>
      <c r="EB182" s="35"/>
      <c r="EC182" s="35"/>
      <c r="ED182" s="35"/>
      <c r="EE182" s="35"/>
      <c r="EF182" s="35"/>
      <c r="EG182" s="35"/>
      <c r="EH182" s="35"/>
      <c r="EI182" s="35"/>
      <c r="EJ182" s="35"/>
      <c r="EK182" s="35"/>
      <c r="EL182" s="35"/>
      <c r="EM182" s="35"/>
      <c r="EN182" s="35"/>
      <c r="EO182" s="35"/>
      <c r="EP182" s="35"/>
      <c r="EQ182" s="35"/>
      <c r="ER182" s="35"/>
      <c r="ES182" s="35"/>
      <c r="ET182" s="35"/>
      <c r="EU182" s="35"/>
      <c r="EV182" s="35"/>
      <c r="EW182" s="35"/>
      <c r="EX182" s="35"/>
      <c r="EY182" s="35"/>
    </row>
    <row r="183" s="33" customFormat="1" ht="14.1" spans="3:155">
      <c r="C183" s="34"/>
      <c r="D183" s="40"/>
      <c r="E183" s="41"/>
      <c r="G183" s="35"/>
      <c r="H183" s="35"/>
      <c r="I183" s="35"/>
      <c r="J183" s="35"/>
      <c r="K183" s="36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4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DR183" s="35"/>
      <c r="DS183" s="35"/>
      <c r="DT183" s="35"/>
      <c r="DU183" s="35"/>
      <c r="DV183" s="35"/>
      <c r="DW183" s="35"/>
      <c r="DX183" s="35"/>
      <c r="DY183" s="35"/>
      <c r="DZ183" s="35"/>
      <c r="EA183" s="35"/>
      <c r="EB183" s="35"/>
      <c r="EC183" s="35"/>
      <c r="ED183" s="35"/>
      <c r="EE183" s="35"/>
      <c r="EF183" s="35"/>
      <c r="EG183" s="35"/>
      <c r="EH183" s="35"/>
      <c r="EI183" s="35"/>
      <c r="EJ183" s="35"/>
      <c r="EK183" s="35"/>
      <c r="EL183" s="35"/>
      <c r="EM183" s="35"/>
      <c r="EN183" s="35"/>
      <c r="EO183" s="35"/>
      <c r="EP183" s="35"/>
      <c r="EQ183" s="35"/>
      <c r="ER183" s="35"/>
      <c r="ES183" s="35"/>
      <c r="ET183" s="35"/>
      <c r="EU183" s="35"/>
      <c r="EV183" s="35"/>
      <c r="EW183" s="35"/>
      <c r="EX183" s="35"/>
      <c r="EY183" s="35"/>
    </row>
    <row r="184" s="33" customFormat="1" ht="14.1" spans="3:155">
      <c r="C184" s="34"/>
      <c r="D184" s="40"/>
      <c r="E184" s="41"/>
      <c r="G184" s="35"/>
      <c r="H184" s="35"/>
      <c r="I184" s="35"/>
      <c r="J184" s="35"/>
      <c r="K184" s="36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4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35"/>
      <c r="DR184" s="35"/>
      <c r="DS184" s="35"/>
      <c r="DT184" s="35"/>
      <c r="DU184" s="35"/>
      <c r="DV184" s="35"/>
      <c r="DW184" s="35"/>
      <c r="DX184" s="35"/>
      <c r="DY184" s="35"/>
      <c r="DZ184" s="35"/>
      <c r="EA184" s="35"/>
      <c r="EB184" s="35"/>
      <c r="EC184" s="35"/>
      <c r="ED184" s="35"/>
      <c r="EE184" s="35"/>
      <c r="EF184" s="35"/>
      <c r="EG184" s="35"/>
      <c r="EH184" s="35"/>
      <c r="EI184" s="35"/>
      <c r="EJ184" s="35"/>
      <c r="EK184" s="35"/>
      <c r="EL184" s="35"/>
      <c r="EM184" s="35"/>
      <c r="EN184" s="35"/>
      <c r="EO184" s="35"/>
      <c r="EP184" s="35"/>
      <c r="EQ184" s="35"/>
      <c r="ER184" s="35"/>
      <c r="ES184" s="35"/>
      <c r="ET184" s="35"/>
      <c r="EU184" s="35"/>
      <c r="EV184" s="35"/>
      <c r="EW184" s="35"/>
      <c r="EX184" s="35"/>
      <c r="EY184" s="35"/>
    </row>
    <row r="185" s="33" customFormat="1" ht="14.1" spans="3:155">
      <c r="C185" s="34"/>
      <c r="D185" s="40"/>
      <c r="E185" s="41"/>
      <c r="G185" s="35"/>
      <c r="H185" s="35"/>
      <c r="I185" s="35"/>
      <c r="J185" s="35"/>
      <c r="K185" s="36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4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  <c r="DO185" s="35"/>
      <c r="DP185" s="35"/>
      <c r="DQ185" s="35"/>
      <c r="DR185" s="35"/>
      <c r="DS185" s="35"/>
      <c r="DT185" s="35"/>
      <c r="DU185" s="35"/>
      <c r="DV185" s="35"/>
      <c r="DW185" s="35"/>
      <c r="DX185" s="35"/>
      <c r="DY185" s="35"/>
      <c r="DZ185" s="35"/>
      <c r="EA185" s="35"/>
      <c r="EB185" s="35"/>
      <c r="EC185" s="35"/>
      <c r="ED185" s="35"/>
      <c r="EE185" s="35"/>
      <c r="EF185" s="35"/>
      <c r="EG185" s="35"/>
      <c r="EH185" s="35"/>
      <c r="EI185" s="35"/>
      <c r="EJ185" s="35"/>
      <c r="EK185" s="35"/>
      <c r="EL185" s="35"/>
      <c r="EM185" s="35"/>
      <c r="EN185" s="35"/>
      <c r="EO185" s="35"/>
      <c r="EP185" s="35"/>
      <c r="EQ185" s="35"/>
      <c r="ER185" s="35"/>
      <c r="ES185" s="35"/>
      <c r="ET185" s="35"/>
      <c r="EU185" s="35"/>
      <c r="EV185" s="35"/>
      <c r="EW185" s="35"/>
      <c r="EX185" s="35"/>
      <c r="EY185" s="35"/>
    </row>
    <row r="186" s="33" customFormat="1" ht="14.1" spans="3:155">
      <c r="C186" s="34"/>
      <c r="D186" s="40"/>
      <c r="E186" s="41"/>
      <c r="G186" s="35"/>
      <c r="H186" s="35"/>
      <c r="I186" s="35"/>
      <c r="J186" s="35"/>
      <c r="K186" s="36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4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  <c r="ER186" s="35"/>
      <c r="ES186" s="35"/>
      <c r="ET186" s="35"/>
      <c r="EU186" s="35"/>
      <c r="EV186" s="35"/>
      <c r="EW186" s="35"/>
      <c r="EX186" s="35"/>
      <c r="EY186" s="35"/>
    </row>
    <row r="187" s="33" customFormat="1" ht="14.1" spans="3:155">
      <c r="C187" s="34"/>
      <c r="D187" s="40"/>
      <c r="E187" s="41"/>
      <c r="G187" s="35"/>
      <c r="H187" s="35"/>
      <c r="I187" s="35"/>
      <c r="J187" s="35"/>
      <c r="K187" s="36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4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  <c r="DO187" s="35"/>
      <c r="DP187" s="35"/>
      <c r="DQ187" s="35"/>
      <c r="DR187" s="35"/>
      <c r="DS187" s="35"/>
      <c r="DT187" s="35"/>
      <c r="DU187" s="35"/>
      <c r="DV187" s="35"/>
      <c r="DW187" s="35"/>
      <c r="DX187" s="35"/>
      <c r="DY187" s="35"/>
      <c r="DZ187" s="35"/>
      <c r="EA187" s="35"/>
      <c r="EB187" s="35"/>
      <c r="EC187" s="35"/>
      <c r="ED187" s="35"/>
      <c r="EE187" s="35"/>
      <c r="EF187" s="35"/>
      <c r="EG187" s="35"/>
      <c r="EH187" s="35"/>
      <c r="EI187" s="35"/>
      <c r="EJ187" s="35"/>
      <c r="EK187" s="35"/>
      <c r="EL187" s="35"/>
      <c r="EM187" s="35"/>
      <c r="EN187" s="35"/>
      <c r="EO187" s="35"/>
      <c r="EP187" s="35"/>
      <c r="EQ187" s="35"/>
      <c r="ER187" s="35"/>
      <c r="ES187" s="35"/>
      <c r="ET187" s="35"/>
      <c r="EU187" s="35"/>
      <c r="EV187" s="35"/>
      <c r="EW187" s="35"/>
      <c r="EX187" s="35"/>
      <c r="EY187" s="35"/>
    </row>
    <row r="188" s="33" customFormat="1" ht="14.1" spans="3:155">
      <c r="C188" s="34"/>
      <c r="D188" s="40"/>
      <c r="E188" s="41"/>
      <c r="G188" s="35"/>
      <c r="H188" s="35"/>
      <c r="I188" s="35"/>
      <c r="J188" s="35"/>
      <c r="K188" s="36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4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35"/>
      <c r="DX188" s="35"/>
      <c r="DY188" s="35"/>
      <c r="DZ188" s="35"/>
      <c r="EA188" s="35"/>
      <c r="EB188" s="35"/>
      <c r="EC188" s="35"/>
      <c r="ED188" s="35"/>
      <c r="EE188" s="35"/>
      <c r="EF188" s="35"/>
      <c r="EG188" s="35"/>
      <c r="EH188" s="35"/>
      <c r="EI188" s="35"/>
      <c r="EJ188" s="35"/>
      <c r="EK188" s="35"/>
      <c r="EL188" s="35"/>
      <c r="EM188" s="35"/>
      <c r="EN188" s="35"/>
      <c r="EO188" s="35"/>
      <c r="EP188" s="35"/>
      <c r="EQ188" s="35"/>
      <c r="ER188" s="35"/>
      <c r="ES188" s="35"/>
      <c r="ET188" s="35"/>
      <c r="EU188" s="35"/>
      <c r="EV188" s="35"/>
      <c r="EW188" s="35"/>
      <c r="EX188" s="35"/>
      <c r="EY188" s="35"/>
    </row>
    <row r="189" s="33" customFormat="1" ht="14.1" spans="3:155">
      <c r="C189" s="34"/>
      <c r="D189" s="40"/>
      <c r="E189" s="41"/>
      <c r="G189" s="35"/>
      <c r="H189" s="35"/>
      <c r="I189" s="35"/>
      <c r="J189" s="35"/>
      <c r="K189" s="36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4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  <c r="DO189" s="35"/>
      <c r="DP189" s="35"/>
      <c r="DQ189" s="35"/>
      <c r="DR189" s="35"/>
      <c r="DS189" s="35"/>
      <c r="DT189" s="35"/>
      <c r="DU189" s="35"/>
      <c r="DV189" s="35"/>
      <c r="DW189" s="35"/>
      <c r="DX189" s="35"/>
      <c r="DY189" s="35"/>
      <c r="DZ189" s="35"/>
      <c r="EA189" s="35"/>
      <c r="EB189" s="35"/>
      <c r="EC189" s="35"/>
      <c r="ED189" s="35"/>
      <c r="EE189" s="35"/>
      <c r="EF189" s="35"/>
      <c r="EG189" s="35"/>
      <c r="EH189" s="35"/>
      <c r="EI189" s="35"/>
      <c r="EJ189" s="35"/>
      <c r="EK189" s="35"/>
      <c r="EL189" s="35"/>
      <c r="EM189" s="35"/>
      <c r="EN189" s="35"/>
      <c r="EO189" s="35"/>
      <c r="EP189" s="35"/>
      <c r="EQ189" s="35"/>
      <c r="ER189" s="35"/>
      <c r="ES189" s="35"/>
      <c r="ET189" s="35"/>
      <c r="EU189" s="35"/>
      <c r="EV189" s="35"/>
      <c r="EW189" s="35"/>
      <c r="EX189" s="35"/>
      <c r="EY189" s="35"/>
    </row>
    <row r="190" s="33" customFormat="1" ht="14.1" spans="3:155">
      <c r="C190" s="34"/>
      <c r="D190" s="40"/>
      <c r="E190" s="41"/>
      <c r="G190" s="35"/>
      <c r="H190" s="35"/>
      <c r="I190" s="35"/>
      <c r="J190" s="35"/>
      <c r="K190" s="36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4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  <c r="DR190" s="35"/>
      <c r="DS190" s="35"/>
      <c r="DT190" s="35"/>
      <c r="DU190" s="35"/>
      <c r="DV190" s="35"/>
      <c r="DW190" s="35"/>
      <c r="DX190" s="35"/>
      <c r="DY190" s="35"/>
      <c r="DZ190" s="35"/>
      <c r="EA190" s="35"/>
      <c r="EB190" s="35"/>
      <c r="EC190" s="35"/>
      <c r="ED190" s="35"/>
      <c r="EE190" s="35"/>
      <c r="EF190" s="35"/>
      <c r="EG190" s="35"/>
      <c r="EH190" s="35"/>
      <c r="EI190" s="35"/>
      <c r="EJ190" s="35"/>
      <c r="EK190" s="35"/>
      <c r="EL190" s="35"/>
      <c r="EM190" s="35"/>
      <c r="EN190" s="35"/>
      <c r="EO190" s="35"/>
      <c r="EP190" s="35"/>
      <c r="EQ190" s="35"/>
      <c r="ER190" s="35"/>
      <c r="ES190" s="35"/>
      <c r="ET190" s="35"/>
      <c r="EU190" s="35"/>
      <c r="EV190" s="35"/>
      <c r="EW190" s="35"/>
      <c r="EX190" s="35"/>
      <c r="EY190" s="35"/>
    </row>
    <row r="191" s="33" customFormat="1" ht="14.1" spans="3:155">
      <c r="C191" s="34"/>
      <c r="D191" s="40"/>
      <c r="E191" s="41"/>
      <c r="G191" s="35"/>
      <c r="H191" s="35"/>
      <c r="I191" s="35"/>
      <c r="J191" s="35"/>
      <c r="K191" s="36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4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  <c r="DL191" s="35"/>
      <c r="DM191" s="35"/>
      <c r="DN191" s="35"/>
      <c r="DO191" s="35"/>
      <c r="DP191" s="35"/>
      <c r="DQ191" s="35"/>
      <c r="DR191" s="35"/>
      <c r="DS191" s="35"/>
      <c r="DT191" s="35"/>
      <c r="DU191" s="35"/>
      <c r="DV191" s="35"/>
      <c r="DW191" s="35"/>
      <c r="DX191" s="35"/>
      <c r="DY191" s="35"/>
      <c r="DZ191" s="35"/>
      <c r="EA191" s="35"/>
      <c r="EB191" s="35"/>
      <c r="EC191" s="35"/>
      <c r="ED191" s="35"/>
      <c r="EE191" s="35"/>
      <c r="EF191" s="35"/>
      <c r="EG191" s="35"/>
      <c r="EH191" s="35"/>
      <c r="EI191" s="35"/>
      <c r="EJ191" s="35"/>
      <c r="EK191" s="35"/>
      <c r="EL191" s="35"/>
      <c r="EM191" s="35"/>
      <c r="EN191" s="35"/>
      <c r="EO191" s="35"/>
      <c r="EP191" s="35"/>
      <c r="EQ191" s="35"/>
      <c r="ER191" s="35"/>
      <c r="ES191" s="35"/>
      <c r="ET191" s="35"/>
      <c r="EU191" s="35"/>
      <c r="EV191" s="35"/>
      <c r="EW191" s="35"/>
      <c r="EX191" s="35"/>
      <c r="EY191" s="35"/>
    </row>
    <row r="192" s="33" customFormat="1" ht="14.1" spans="3:155">
      <c r="C192" s="34"/>
      <c r="D192" s="40"/>
      <c r="E192" s="41"/>
      <c r="G192" s="35"/>
      <c r="H192" s="35"/>
      <c r="I192" s="35"/>
      <c r="J192" s="35"/>
      <c r="K192" s="36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4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  <c r="DL192" s="35"/>
      <c r="DM192" s="35"/>
      <c r="DN192" s="35"/>
      <c r="DO192" s="35"/>
      <c r="DP192" s="35"/>
      <c r="DQ192" s="35"/>
      <c r="DR192" s="35"/>
      <c r="DS192" s="35"/>
      <c r="DT192" s="35"/>
      <c r="DU192" s="35"/>
      <c r="DV192" s="35"/>
      <c r="DW192" s="35"/>
      <c r="DX192" s="35"/>
      <c r="DY192" s="35"/>
      <c r="DZ192" s="35"/>
      <c r="EA192" s="35"/>
      <c r="EB192" s="35"/>
      <c r="EC192" s="35"/>
      <c r="ED192" s="35"/>
      <c r="EE192" s="35"/>
      <c r="EF192" s="35"/>
      <c r="EG192" s="35"/>
      <c r="EH192" s="35"/>
      <c r="EI192" s="35"/>
      <c r="EJ192" s="35"/>
      <c r="EK192" s="35"/>
      <c r="EL192" s="35"/>
      <c r="EM192" s="35"/>
      <c r="EN192" s="35"/>
      <c r="EO192" s="35"/>
      <c r="EP192" s="35"/>
      <c r="EQ192" s="35"/>
      <c r="ER192" s="35"/>
      <c r="ES192" s="35"/>
      <c r="ET192" s="35"/>
      <c r="EU192" s="35"/>
      <c r="EV192" s="35"/>
      <c r="EW192" s="35"/>
      <c r="EX192" s="35"/>
      <c r="EY192" s="35"/>
    </row>
    <row r="193" s="33" customFormat="1" ht="14.1" spans="3:155">
      <c r="C193" s="34"/>
      <c r="D193" s="40"/>
      <c r="E193" s="41"/>
      <c r="G193" s="35"/>
      <c r="H193" s="35"/>
      <c r="I193" s="35"/>
      <c r="J193" s="35"/>
      <c r="K193" s="36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4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  <c r="DO193" s="35"/>
      <c r="DP193" s="35"/>
      <c r="DQ193" s="35"/>
      <c r="DR193" s="35"/>
      <c r="DS193" s="35"/>
      <c r="DT193" s="35"/>
      <c r="DU193" s="35"/>
      <c r="DV193" s="35"/>
      <c r="DW193" s="35"/>
      <c r="DX193" s="35"/>
      <c r="DY193" s="35"/>
      <c r="DZ193" s="35"/>
      <c r="EA193" s="35"/>
      <c r="EB193" s="35"/>
      <c r="EC193" s="35"/>
      <c r="ED193" s="35"/>
      <c r="EE193" s="35"/>
      <c r="EF193" s="35"/>
      <c r="EG193" s="35"/>
      <c r="EH193" s="35"/>
      <c r="EI193" s="35"/>
      <c r="EJ193" s="35"/>
      <c r="EK193" s="35"/>
      <c r="EL193" s="35"/>
      <c r="EM193" s="35"/>
      <c r="EN193" s="35"/>
      <c r="EO193" s="35"/>
      <c r="EP193" s="35"/>
      <c r="EQ193" s="35"/>
      <c r="ER193" s="35"/>
      <c r="ES193" s="35"/>
      <c r="ET193" s="35"/>
      <c r="EU193" s="35"/>
      <c r="EV193" s="35"/>
      <c r="EW193" s="35"/>
      <c r="EX193" s="35"/>
      <c r="EY193" s="35"/>
    </row>
    <row r="194" s="33" customFormat="1" ht="14.1" spans="3:155">
      <c r="C194" s="34"/>
      <c r="D194" s="40"/>
      <c r="E194" s="41"/>
      <c r="G194" s="35"/>
      <c r="H194" s="35"/>
      <c r="I194" s="35"/>
      <c r="J194" s="35"/>
      <c r="K194" s="36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4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/>
      <c r="DR194" s="35"/>
      <c r="DS194" s="35"/>
      <c r="DT194" s="35"/>
      <c r="DU194" s="35"/>
      <c r="DV194" s="35"/>
      <c r="DW194" s="35"/>
      <c r="DX194" s="35"/>
      <c r="DY194" s="35"/>
      <c r="DZ194" s="35"/>
      <c r="EA194" s="35"/>
      <c r="EB194" s="35"/>
      <c r="EC194" s="35"/>
      <c r="ED194" s="35"/>
      <c r="EE194" s="35"/>
      <c r="EF194" s="35"/>
      <c r="EG194" s="35"/>
      <c r="EH194" s="35"/>
      <c r="EI194" s="35"/>
      <c r="EJ194" s="35"/>
      <c r="EK194" s="35"/>
      <c r="EL194" s="35"/>
      <c r="EM194" s="35"/>
      <c r="EN194" s="35"/>
      <c r="EO194" s="35"/>
      <c r="EP194" s="35"/>
      <c r="EQ194" s="35"/>
      <c r="ER194" s="35"/>
      <c r="ES194" s="35"/>
      <c r="ET194" s="35"/>
      <c r="EU194" s="35"/>
      <c r="EV194" s="35"/>
      <c r="EW194" s="35"/>
      <c r="EX194" s="35"/>
      <c r="EY194" s="35"/>
    </row>
    <row r="195" s="33" customFormat="1" ht="14.1" spans="3:155">
      <c r="C195" s="34"/>
      <c r="D195" s="40"/>
      <c r="E195" s="41"/>
      <c r="G195" s="35"/>
      <c r="H195" s="35"/>
      <c r="I195" s="35"/>
      <c r="J195" s="35"/>
      <c r="K195" s="36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4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  <c r="DO195" s="35"/>
      <c r="DP195" s="35"/>
      <c r="DQ195" s="35"/>
      <c r="DR195" s="35"/>
      <c r="DS195" s="35"/>
      <c r="DT195" s="35"/>
      <c r="DU195" s="35"/>
      <c r="DV195" s="35"/>
      <c r="DW195" s="35"/>
      <c r="DX195" s="35"/>
      <c r="DY195" s="35"/>
      <c r="DZ195" s="35"/>
      <c r="EA195" s="35"/>
      <c r="EB195" s="35"/>
      <c r="EC195" s="35"/>
      <c r="ED195" s="35"/>
      <c r="EE195" s="35"/>
      <c r="EF195" s="35"/>
      <c r="EG195" s="35"/>
      <c r="EH195" s="35"/>
      <c r="EI195" s="35"/>
      <c r="EJ195" s="35"/>
      <c r="EK195" s="35"/>
      <c r="EL195" s="35"/>
      <c r="EM195" s="35"/>
      <c r="EN195" s="35"/>
      <c r="EO195" s="35"/>
      <c r="EP195" s="35"/>
      <c r="EQ195" s="35"/>
      <c r="ER195" s="35"/>
      <c r="ES195" s="35"/>
      <c r="ET195" s="35"/>
      <c r="EU195" s="35"/>
      <c r="EV195" s="35"/>
      <c r="EW195" s="35"/>
      <c r="EX195" s="35"/>
      <c r="EY195" s="35"/>
    </row>
    <row r="196" s="33" customFormat="1" ht="14.1" spans="3:155">
      <c r="C196" s="34"/>
      <c r="D196" s="40"/>
      <c r="E196" s="41"/>
      <c r="G196" s="35"/>
      <c r="H196" s="35"/>
      <c r="I196" s="35"/>
      <c r="J196" s="35"/>
      <c r="K196" s="36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4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35"/>
      <c r="DR196" s="35"/>
      <c r="DS196" s="35"/>
      <c r="DT196" s="35"/>
      <c r="DU196" s="35"/>
      <c r="DV196" s="35"/>
      <c r="DW196" s="35"/>
      <c r="DX196" s="35"/>
      <c r="DY196" s="35"/>
      <c r="DZ196" s="35"/>
      <c r="EA196" s="35"/>
      <c r="EB196" s="35"/>
      <c r="EC196" s="35"/>
      <c r="ED196" s="35"/>
      <c r="EE196" s="35"/>
      <c r="EF196" s="35"/>
      <c r="EG196" s="35"/>
      <c r="EH196" s="35"/>
      <c r="EI196" s="35"/>
      <c r="EJ196" s="35"/>
      <c r="EK196" s="35"/>
      <c r="EL196" s="35"/>
      <c r="EM196" s="35"/>
      <c r="EN196" s="35"/>
      <c r="EO196" s="35"/>
      <c r="EP196" s="35"/>
      <c r="EQ196" s="35"/>
      <c r="ER196" s="35"/>
      <c r="ES196" s="35"/>
      <c r="ET196" s="35"/>
      <c r="EU196" s="35"/>
      <c r="EV196" s="35"/>
      <c r="EW196" s="35"/>
      <c r="EX196" s="35"/>
      <c r="EY196" s="35"/>
    </row>
    <row r="197" s="33" customFormat="1" ht="14.1" spans="3:155">
      <c r="C197" s="34"/>
      <c r="D197" s="40"/>
      <c r="E197" s="41"/>
      <c r="G197" s="35"/>
      <c r="H197" s="35"/>
      <c r="I197" s="35"/>
      <c r="J197" s="35"/>
      <c r="K197" s="36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4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35"/>
      <c r="DR197" s="35"/>
      <c r="DS197" s="35"/>
      <c r="DT197" s="35"/>
      <c r="DU197" s="35"/>
      <c r="DV197" s="35"/>
      <c r="DW197" s="35"/>
      <c r="DX197" s="35"/>
      <c r="DY197" s="35"/>
      <c r="DZ197" s="35"/>
      <c r="EA197" s="35"/>
      <c r="EB197" s="35"/>
      <c r="EC197" s="35"/>
      <c r="ED197" s="35"/>
      <c r="EE197" s="35"/>
      <c r="EF197" s="35"/>
      <c r="EG197" s="35"/>
      <c r="EH197" s="35"/>
      <c r="EI197" s="35"/>
      <c r="EJ197" s="35"/>
      <c r="EK197" s="35"/>
      <c r="EL197" s="35"/>
      <c r="EM197" s="35"/>
      <c r="EN197" s="35"/>
      <c r="EO197" s="35"/>
      <c r="EP197" s="35"/>
      <c r="EQ197" s="35"/>
      <c r="ER197" s="35"/>
      <c r="ES197" s="35"/>
      <c r="ET197" s="35"/>
      <c r="EU197" s="35"/>
      <c r="EV197" s="35"/>
      <c r="EW197" s="35"/>
      <c r="EX197" s="35"/>
      <c r="EY197" s="35"/>
    </row>
    <row r="198" s="33" customFormat="1" ht="14.1" spans="3:155">
      <c r="C198" s="34"/>
      <c r="D198" s="40"/>
      <c r="E198" s="41"/>
      <c r="G198" s="35"/>
      <c r="H198" s="35"/>
      <c r="I198" s="35"/>
      <c r="J198" s="35"/>
      <c r="K198" s="36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4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35"/>
      <c r="DX198" s="35"/>
      <c r="DY198" s="35"/>
      <c r="DZ198" s="35"/>
      <c r="EA198" s="35"/>
      <c r="EB198" s="35"/>
      <c r="EC198" s="35"/>
      <c r="ED198" s="35"/>
      <c r="EE198" s="35"/>
      <c r="EF198" s="35"/>
      <c r="EG198" s="35"/>
      <c r="EH198" s="35"/>
      <c r="EI198" s="35"/>
      <c r="EJ198" s="35"/>
      <c r="EK198" s="35"/>
      <c r="EL198" s="35"/>
      <c r="EM198" s="35"/>
      <c r="EN198" s="35"/>
      <c r="EO198" s="35"/>
      <c r="EP198" s="35"/>
      <c r="EQ198" s="35"/>
      <c r="ER198" s="35"/>
      <c r="ES198" s="35"/>
      <c r="ET198" s="35"/>
      <c r="EU198" s="35"/>
      <c r="EV198" s="35"/>
      <c r="EW198" s="35"/>
      <c r="EX198" s="35"/>
      <c r="EY198" s="35"/>
    </row>
    <row r="199" s="33" customFormat="1" ht="14.1" spans="3:155">
      <c r="C199" s="34"/>
      <c r="D199" s="40"/>
      <c r="E199" s="41"/>
      <c r="G199" s="35"/>
      <c r="H199" s="35"/>
      <c r="I199" s="35"/>
      <c r="J199" s="35"/>
      <c r="K199" s="36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4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R199" s="35"/>
      <c r="DS199" s="35"/>
      <c r="DT199" s="35"/>
      <c r="DU199" s="35"/>
      <c r="DV199" s="35"/>
      <c r="DW199" s="35"/>
      <c r="DX199" s="35"/>
      <c r="DY199" s="35"/>
      <c r="DZ199" s="35"/>
      <c r="EA199" s="35"/>
      <c r="EB199" s="35"/>
      <c r="EC199" s="35"/>
      <c r="ED199" s="35"/>
      <c r="EE199" s="35"/>
      <c r="EF199" s="35"/>
      <c r="EG199" s="35"/>
      <c r="EH199" s="35"/>
      <c r="EI199" s="35"/>
      <c r="EJ199" s="35"/>
      <c r="EK199" s="35"/>
      <c r="EL199" s="35"/>
      <c r="EM199" s="35"/>
      <c r="EN199" s="35"/>
      <c r="EO199" s="35"/>
      <c r="EP199" s="35"/>
      <c r="EQ199" s="35"/>
      <c r="ER199" s="35"/>
      <c r="ES199" s="35"/>
      <c r="ET199" s="35"/>
      <c r="EU199" s="35"/>
      <c r="EV199" s="35"/>
      <c r="EW199" s="35"/>
      <c r="EX199" s="35"/>
      <c r="EY199" s="35"/>
    </row>
    <row r="200" s="33" customFormat="1" ht="14.1" spans="3:155">
      <c r="C200" s="34"/>
      <c r="D200" s="40"/>
      <c r="E200" s="41"/>
      <c r="G200" s="35"/>
      <c r="H200" s="35"/>
      <c r="I200" s="35"/>
      <c r="J200" s="35"/>
      <c r="K200" s="36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4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s="35"/>
      <c r="EE200" s="35"/>
      <c r="EF200" s="35"/>
      <c r="EG200" s="35"/>
      <c r="EH200" s="35"/>
      <c r="EI200" s="35"/>
      <c r="EJ200" s="35"/>
      <c r="EK200" s="35"/>
      <c r="EL200" s="35"/>
      <c r="EM200" s="35"/>
      <c r="EN200" s="35"/>
      <c r="EO200" s="35"/>
      <c r="EP200" s="35"/>
      <c r="EQ200" s="35"/>
      <c r="ER200" s="35"/>
      <c r="ES200" s="35"/>
      <c r="ET200" s="35"/>
      <c r="EU200" s="35"/>
      <c r="EV200" s="35"/>
      <c r="EW200" s="35"/>
      <c r="EX200" s="35"/>
      <c r="EY200" s="35"/>
    </row>
    <row r="201" s="33" customFormat="1" ht="14.1" spans="3:155">
      <c r="C201" s="34"/>
      <c r="D201" s="40"/>
      <c r="E201" s="41"/>
      <c r="G201" s="35"/>
      <c r="H201" s="35"/>
      <c r="I201" s="35"/>
      <c r="J201" s="35"/>
      <c r="K201" s="36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4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  <c r="DO201" s="35"/>
      <c r="DP201" s="35"/>
      <c r="DQ201" s="35"/>
      <c r="DR201" s="35"/>
      <c r="DS201" s="35"/>
      <c r="DT201" s="35"/>
      <c r="DU201" s="35"/>
      <c r="DV201" s="35"/>
      <c r="DW201" s="35"/>
      <c r="DX201" s="35"/>
      <c r="DY201" s="35"/>
      <c r="DZ201" s="35"/>
      <c r="EA201" s="35"/>
      <c r="EB201" s="35"/>
      <c r="EC201" s="35"/>
      <c r="ED201" s="35"/>
      <c r="EE201" s="35"/>
      <c r="EF201" s="35"/>
      <c r="EG201" s="35"/>
      <c r="EH201" s="35"/>
      <c r="EI201" s="35"/>
      <c r="EJ201" s="35"/>
      <c r="EK201" s="35"/>
      <c r="EL201" s="35"/>
      <c r="EM201" s="35"/>
      <c r="EN201" s="35"/>
      <c r="EO201" s="35"/>
      <c r="EP201" s="35"/>
      <c r="EQ201" s="35"/>
      <c r="ER201" s="35"/>
      <c r="ES201" s="35"/>
      <c r="ET201" s="35"/>
      <c r="EU201" s="35"/>
      <c r="EV201" s="35"/>
      <c r="EW201" s="35"/>
      <c r="EX201" s="35"/>
      <c r="EY201" s="35"/>
    </row>
    <row r="202" s="33" customFormat="1" ht="14.1" spans="3:155">
      <c r="C202" s="34"/>
      <c r="D202" s="40"/>
      <c r="E202" s="41"/>
      <c r="G202" s="35"/>
      <c r="H202" s="35"/>
      <c r="I202" s="35"/>
      <c r="J202" s="35"/>
      <c r="K202" s="36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4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  <c r="DO202" s="35"/>
      <c r="DP202" s="35"/>
      <c r="DQ202" s="35"/>
      <c r="DR202" s="35"/>
      <c r="DS202" s="35"/>
      <c r="DT202" s="35"/>
      <c r="DU202" s="35"/>
      <c r="DV202" s="35"/>
      <c r="DW202" s="35"/>
      <c r="DX202" s="35"/>
      <c r="DY202" s="35"/>
      <c r="DZ202" s="35"/>
      <c r="EA202" s="35"/>
      <c r="EB202" s="35"/>
      <c r="EC202" s="35"/>
      <c r="ED202" s="35"/>
      <c r="EE202" s="35"/>
      <c r="EF202" s="35"/>
      <c r="EG202" s="35"/>
      <c r="EH202" s="35"/>
      <c r="EI202" s="35"/>
      <c r="EJ202" s="35"/>
      <c r="EK202" s="35"/>
      <c r="EL202" s="35"/>
      <c r="EM202" s="35"/>
      <c r="EN202" s="35"/>
      <c r="EO202" s="35"/>
      <c r="EP202" s="35"/>
      <c r="EQ202" s="35"/>
      <c r="ER202" s="35"/>
      <c r="ES202" s="35"/>
      <c r="ET202" s="35"/>
      <c r="EU202" s="35"/>
      <c r="EV202" s="35"/>
      <c r="EW202" s="35"/>
      <c r="EX202" s="35"/>
      <c r="EY202" s="35"/>
    </row>
    <row r="203" s="33" customFormat="1" ht="14.1" spans="3:155">
      <c r="C203" s="34"/>
      <c r="D203" s="40"/>
      <c r="E203" s="41"/>
      <c r="G203" s="35"/>
      <c r="H203" s="35"/>
      <c r="I203" s="35"/>
      <c r="J203" s="35"/>
      <c r="K203" s="36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4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  <c r="DL203" s="35"/>
      <c r="DM203" s="35"/>
      <c r="DN203" s="35"/>
      <c r="DO203" s="35"/>
      <c r="DP203" s="35"/>
      <c r="DQ203" s="35"/>
      <c r="DR203" s="35"/>
      <c r="DS203" s="35"/>
      <c r="DT203" s="35"/>
      <c r="DU203" s="35"/>
      <c r="DV203" s="35"/>
      <c r="DW203" s="35"/>
      <c r="DX203" s="35"/>
      <c r="DY203" s="35"/>
      <c r="DZ203" s="35"/>
      <c r="EA203" s="35"/>
      <c r="EB203" s="35"/>
      <c r="EC203" s="35"/>
      <c r="ED203" s="35"/>
      <c r="EE203" s="35"/>
      <c r="EF203" s="35"/>
      <c r="EG203" s="35"/>
      <c r="EH203" s="35"/>
      <c r="EI203" s="35"/>
      <c r="EJ203" s="35"/>
      <c r="EK203" s="35"/>
      <c r="EL203" s="35"/>
      <c r="EM203" s="35"/>
      <c r="EN203" s="35"/>
      <c r="EO203" s="35"/>
      <c r="EP203" s="35"/>
      <c r="EQ203" s="35"/>
      <c r="ER203" s="35"/>
      <c r="ES203" s="35"/>
      <c r="ET203" s="35"/>
      <c r="EU203" s="35"/>
      <c r="EV203" s="35"/>
      <c r="EW203" s="35"/>
      <c r="EX203" s="35"/>
      <c r="EY203" s="35"/>
    </row>
    <row r="204" s="33" customFormat="1" ht="14.1" spans="3:155">
      <c r="C204" s="34"/>
      <c r="D204" s="40"/>
      <c r="E204" s="41"/>
      <c r="G204" s="35"/>
      <c r="H204" s="35"/>
      <c r="I204" s="35"/>
      <c r="J204" s="35"/>
      <c r="K204" s="36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4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35"/>
      <c r="DR204" s="35"/>
      <c r="DS204" s="35"/>
      <c r="DT204" s="35"/>
      <c r="DU204" s="35"/>
      <c r="DV204" s="35"/>
      <c r="DW204" s="35"/>
      <c r="DX204" s="35"/>
      <c r="DY204" s="35"/>
      <c r="DZ204" s="35"/>
      <c r="EA204" s="35"/>
      <c r="EB204" s="35"/>
      <c r="EC204" s="35"/>
      <c r="ED204" s="35"/>
      <c r="EE204" s="35"/>
      <c r="EF204" s="35"/>
      <c r="EG204" s="35"/>
      <c r="EH204" s="35"/>
      <c r="EI204" s="35"/>
      <c r="EJ204" s="35"/>
      <c r="EK204" s="35"/>
      <c r="EL204" s="35"/>
      <c r="EM204" s="35"/>
      <c r="EN204" s="35"/>
      <c r="EO204" s="35"/>
      <c r="EP204" s="35"/>
      <c r="EQ204" s="35"/>
      <c r="ER204" s="35"/>
      <c r="ES204" s="35"/>
      <c r="ET204" s="35"/>
      <c r="EU204" s="35"/>
      <c r="EV204" s="35"/>
      <c r="EW204" s="35"/>
      <c r="EX204" s="35"/>
      <c r="EY204" s="35"/>
    </row>
    <row r="205" s="33" customFormat="1" ht="14.1" spans="3:155">
      <c r="C205" s="34"/>
      <c r="D205" s="40"/>
      <c r="E205" s="41"/>
      <c r="G205" s="35"/>
      <c r="H205" s="35"/>
      <c r="I205" s="35"/>
      <c r="J205" s="35"/>
      <c r="K205" s="36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4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35"/>
      <c r="DR205" s="35"/>
      <c r="DS205" s="35"/>
      <c r="DT205" s="35"/>
      <c r="DU205" s="35"/>
      <c r="DV205" s="35"/>
      <c r="DW205" s="35"/>
      <c r="DX205" s="35"/>
      <c r="DY205" s="35"/>
      <c r="DZ205" s="35"/>
      <c r="EA205" s="35"/>
      <c r="EB205" s="35"/>
      <c r="EC205" s="35"/>
      <c r="ED205" s="35"/>
      <c r="EE205" s="35"/>
      <c r="EF205" s="35"/>
      <c r="EG205" s="35"/>
      <c r="EH205" s="35"/>
      <c r="EI205" s="35"/>
      <c r="EJ205" s="35"/>
      <c r="EK205" s="35"/>
      <c r="EL205" s="35"/>
      <c r="EM205" s="35"/>
      <c r="EN205" s="35"/>
      <c r="EO205" s="35"/>
      <c r="EP205" s="35"/>
      <c r="EQ205" s="35"/>
      <c r="ER205" s="35"/>
      <c r="ES205" s="35"/>
      <c r="ET205" s="35"/>
      <c r="EU205" s="35"/>
      <c r="EV205" s="35"/>
      <c r="EW205" s="35"/>
      <c r="EX205" s="35"/>
      <c r="EY205" s="35"/>
    </row>
    <row r="206" s="33" customFormat="1" ht="14.1" spans="3:155">
      <c r="C206" s="34"/>
      <c r="D206" s="40"/>
      <c r="E206" s="41"/>
      <c r="G206" s="35"/>
      <c r="H206" s="35"/>
      <c r="I206" s="35"/>
      <c r="J206" s="35"/>
      <c r="K206" s="36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4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35"/>
      <c r="DX206" s="35"/>
      <c r="DY206" s="35"/>
      <c r="DZ206" s="35"/>
      <c r="EA206" s="35"/>
      <c r="EB206" s="35"/>
      <c r="EC206" s="35"/>
      <c r="ED206" s="35"/>
      <c r="EE206" s="35"/>
      <c r="EF206" s="35"/>
      <c r="EG206" s="35"/>
      <c r="EH206" s="35"/>
      <c r="EI206" s="35"/>
      <c r="EJ206" s="35"/>
      <c r="EK206" s="35"/>
      <c r="EL206" s="35"/>
      <c r="EM206" s="35"/>
      <c r="EN206" s="35"/>
      <c r="EO206" s="35"/>
      <c r="EP206" s="35"/>
      <c r="EQ206" s="35"/>
      <c r="ER206" s="35"/>
      <c r="ES206" s="35"/>
      <c r="ET206" s="35"/>
      <c r="EU206" s="35"/>
      <c r="EV206" s="35"/>
      <c r="EW206" s="35"/>
      <c r="EX206" s="35"/>
      <c r="EY206" s="35"/>
    </row>
    <row r="207" s="33" customFormat="1" ht="14.1" spans="3:155">
      <c r="C207" s="34"/>
      <c r="D207" s="40"/>
      <c r="E207" s="41"/>
      <c r="G207" s="35"/>
      <c r="H207" s="35"/>
      <c r="I207" s="35"/>
      <c r="J207" s="35"/>
      <c r="K207" s="36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4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  <c r="DW207" s="35"/>
      <c r="DX207" s="35"/>
      <c r="DY207" s="35"/>
      <c r="DZ207" s="35"/>
      <c r="EA207" s="35"/>
      <c r="EB207" s="35"/>
      <c r="EC207" s="35"/>
      <c r="ED207" s="35"/>
      <c r="EE207" s="35"/>
      <c r="EF207" s="35"/>
      <c r="EG207" s="35"/>
      <c r="EH207" s="35"/>
      <c r="EI207" s="35"/>
      <c r="EJ207" s="35"/>
      <c r="EK207" s="35"/>
      <c r="EL207" s="35"/>
      <c r="EM207" s="35"/>
      <c r="EN207" s="35"/>
      <c r="EO207" s="35"/>
      <c r="EP207" s="35"/>
      <c r="EQ207" s="35"/>
      <c r="ER207" s="35"/>
      <c r="ES207" s="35"/>
      <c r="ET207" s="35"/>
      <c r="EU207" s="35"/>
      <c r="EV207" s="35"/>
      <c r="EW207" s="35"/>
      <c r="EX207" s="35"/>
      <c r="EY207" s="35"/>
    </row>
    <row r="208" s="33" customFormat="1" ht="14.1" spans="3:155">
      <c r="C208" s="34"/>
      <c r="D208" s="40"/>
      <c r="E208" s="41"/>
      <c r="G208" s="35"/>
      <c r="H208" s="35"/>
      <c r="I208" s="35"/>
      <c r="J208" s="35"/>
      <c r="K208" s="36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4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  <c r="DW208" s="35"/>
      <c r="DX208" s="35"/>
      <c r="DY208" s="35"/>
      <c r="DZ208" s="35"/>
      <c r="EA208" s="35"/>
      <c r="EB208" s="35"/>
      <c r="EC208" s="35"/>
      <c r="ED208" s="35"/>
      <c r="EE208" s="35"/>
      <c r="EF208" s="35"/>
      <c r="EG208" s="35"/>
      <c r="EH208" s="35"/>
      <c r="EI208" s="35"/>
      <c r="EJ208" s="35"/>
      <c r="EK208" s="35"/>
      <c r="EL208" s="35"/>
      <c r="EM208" s="35"/>
      <c r="EN208" s="35"/>
      <c r="EO208" s="35"/>
      <c r="EP208" s="35"/>
      <c r="EQ208" s="35"/>
      <c r="ER208" s="35"/>
      <c r="ES208" s="35"/>
      <c r="ET208" s="35"/>
      <c r="EU208" s="35"/>
      <c r="EV208" s="35"/>
      <c r="EW208" s="35"/>
      <c r="EX208" s="35"/>
      <c r="EY208" s="35"/>
    </row>
    <row r="209" spans="2:5">
      <c r="B209" s="33"/>
      <c r="D209" s="40"/>
      <c r="E209" s="41"/>
    </row>
    <row r="210" spans="2:5">
      <c r="B210" s="33"/>
      <c r="D210" s="40"/>
      <c r="E210" s="41"/>
    </row>
    <row r="211" spans="2:5">
      <c r="B211" s="33"/>
      <c r="D211" s="40"/>
      <c r="E211" s="41"/>
    </row>
    <row r="212" spans="2:5">
      <c r="B212" s="33"/>
      <c r="D212" s="40"/>
      <c r="E212" s="41"/>
    </row>
    <row r="213" spans="2:5">
      <c r="B213" s="33"/>
      <c r="D213" s="40"/>
      <c r="E213" s="41"/>
    </row>
    <row r="214" spans="4:5">
      <c r="D214" s="40"/>
      <c r="E214" s="41"/>
    </row>
    <row r="215" spans="4:5">
      <c r="D215" s="40"/>
      <c r="E215" s="41"/>
    </row>
    <row r="216" spans="4:5">
      <c r="D216" s="40"/>
      <c r="E216" s="41"/>
    </row>
    <row r="217" spans="4:5">
      <c r="D217" s="40"/>
      <c r="E217" s="41"/>
    </row>
    <row r="218" spans="4:5">
      <c r="D218" s="40"/>
      <c r="E218" s="41"/>
    </row>
    <row r="219" spans="4:5">
      <c r="D219" s="40"/>
      <c r="E219" s="41"/>
    </row>
    <row r="220" spans="4:5">
      <c r="D220" s="40"/>
      <c r="E220" s="41"/>
    </row>
    <row r="221" spans="4:5">
      <c r="D221" s="40"/>
      <c r="E221" s="41"/>
    </row>
    <row r="222" spans="4:5">
      <c r="D222" s="40"/>
      <c r="E222" s="41"/>
    </row>
    <row r="223" spans="4:5">
      <c r="D223" s="40"/>
      <c r="E223" s="41"/>
    </row>
    <row r="224" spans="4:5">
      <c r="D224" s="40"/>
      <c r="E224" s="41"/>
    </row>
    <row r="225" spans="4:5">
      <c r="D225" s="40"/>
      <c r="E225" s="41"/>
    </row>
    <row r="226" spans="4:5">
      <c r="D226" s="40"/>
      <c r="E226" s="41"/>
    </row>
    <row r="227" spans="4:5">
      <c r="D227" s="40"/>
      <c r="E227" s="41"/>
    </row>
    <row r="228" spans="4:5">
      <c r="D228" s="40"/>
      <c r="E228" s="41"/>
    </row>
    <row r="229" spans="4:5">
      <c r="D229" s="40"/>
      <c r="E229" s="41"/>
    </row>
    <row r="230" spans="4:5">
      <c r="D230" s="40"/>
      <c r="E230" s="41"/>
    </row>
    <row r="231" spans="4:5">
      <c r="D231" s="40"/>
      <c r="E231" s="41"/>
    </row>
    <row r="232" spans="4:5">
      <c r="D232" s="40"/>
      <c r="E232" s="41"/>
    </row>
    <row r="233" spans="4:5">
      <c r="D233" s="40"/>
      <c r="E233" s="41"/>
    </row>
    <row r="234" spans="4:5">
      <c r="D234" s="40"/>
      <c r="E234" s="41"/>
    </row>
    <row r="235" spans="4:5">
      <c r="D235" s="40"/>
      <c r="E235" s="41"/>
    </row>
    <row r="236" spans="4:5">
      <c r="D236" s="40"/>
      <c r="E236" s="41"/>
    </row>
    <row r="237" spans="4:5">
      <c r="D237" s="40"/>
      <c r="E237" s="41"/>
    </row>
    <row r="238" spans="4:5">
      <c r="D238" s="40"/>
      <c r="E238" s="41"/>
    </row>
    <row r="239" spans="4:5">
      <c r="D239" s="40"/>
      <c r="E239" s="41"/>
    </row>
    <row r="240" spans="4:5">
      <c r="D240" s="40"/>
      <c r="E240" s="41"/>
    </row>
    <row r="241" spans="4:5">
      <c r="D241" s="40"/>
      <c r="E241" s="41"/>
    </row>
    <row r="242" spans="4:5">
      <c r="D242" s="40"/>
      <c r="E242" s="41"/>
    </row>
    <row r="243" spans="4:5">
      <c r="D243" s="40"/>
      <c r="E243" s="41"/>
    </row>
    <row r="244" spans="4:5">
      <c r="D244" s="40"/>
      <c r="E244" s="41"/>
    </row>
    <row r="245" spans="4:5">
      <c r="D245" s="40"/>
      <c r="E245" s="41"/>
    </row>
    <row r="246" spans="4:5">
      <c r="D246" s="40"/>
      <c r="E246" s="41"/>
    </row>
    <row r="247" spans="4:5">
      <c r="D247" s="40"/>
      <c r="E247" s="41"/>
    </row>
    <row r="248" spans="4:5">
      <c r="D248" s="40"/>
      <c r="E248" s="41"/>
    </row>
    <row r="249" spans="4:5">
      <c r="D249" s="40"/>
      <c r="E249" s="41"/>
    </row>
    <row r="250" spans="4:5">
      <c r="D250" s="40"/>
      <c r="E250" s="41"/>
    </row>
    <row r="251" spans="4:5">
      <c r="D251" s="40"/>
      <c r="E251" s="41"/>
    </row>
    <row r="252" spans="4:5">
      <c r="D252" s="40"/>
      <c r="E252" s="41"/>
    </row>
    <row r="253" spans="4:5">
      <c r="D253" s="40"/>
      <c r="E253" s="41"/>
    </row>
    <row r="254" spans="4:5">
      <c r="D254" s="40"/>
      <c r="E254" s="41"/>
    </row>
    <row r="255" spans="4:5">
      <c r="D255" s="40"/>
      <c r="E255" s="41"/>
    </row>
    <row r="256" spans="4:5">
      <c r="D256" s="40"/>
      <c r="E256" s="41"/>
    </row>
    <row r="257" spans="4:5">
      <c r="D257" s="40"/>
      <c r="E257" s="41"/>
    </row>
    <row r="258" spans="4:5">
      <c r="D258" s="40"/>
      <c r="E258" s="41"/>
    </row>
    <row r="259" spans="4:5">
      <c r="D259" s="40"/>
      <c r="E259" s="41"/>
    </row>
    <row r="260" spans="4:5">
      <c r="D260" s="40"/>
      <c r="E260" s="41"/>
    </row>
    <row r="261" spans="4:5">
      <c r="D261" s="40"/>
      <c r="E261" s="41"/>
    </row>
    <row r="262" spans="4:5">
      <c r="D262" s="40"/>
      <c r="E262" s="41"/>
    </row>
    <row r="263" spans="4:5">
      <c r="D263" s="40"/>
      <c r="E263" s="41"/>
    </row>
    <row r="264" spans="4:5">
      <c r="D264" s="40"/>
      <c r="E264" s="41"/>
    </row>
    <row r="265" spans="4:5">
      <c r="D265" s="40"/>
      <c r="E265" s="41"/>
    </row>
    <row r="266" spans="4:5">
      <c r="D266" s="40"/>
      <c r="E266" s="41"/>
    </row>
    <row r="267" spans="4:5">
      <c r="D267" s="40"/>
      <c r="E267" s="41"/>
    </row>
    <row r="268" spans="4:5">
      <c r="D268" s="40"/>
      <c r="E268" s="41"/>
    </row>
    <row r="269" spans="4:5">
      <c r="D269" s="40"/>
      <c r="E269" s="41"/>
    </row>
    <row r="270" spans="4:5">
      <c r="D270" s="40"/>
      <c r="E270" s="41"/>
    </row>
    <row r="271" spans="4:5">
      <c r="D271" s="40"/>
      <c r="E271" s="41"/>
    </row>
    <row r="272" spans="4:5">
      <c r="D272" s="40"/>
      <c r="E272" s="41"/>
    </row>
    <row r="273" spans="4:5">
      <c r="D273" s="40"/>
      <c r="E273" s="41"/>
    </row>
    <row r="274" spans="4:5">
      <c r="D274" s="40"/>
      <c r="E274" s="41"/>
    </row>
    <row r="275" spans="4:5">
      <c r="D275" s="40"/>
      <c r="E275" s="41"/>
    </row>
    <row r="276" spans="4:5">
      <c r="D276" s="40"/>
      <c r="E276" s="41"/>
    </row>
    <row r="277" spans="4:5">
      <c r="D277" s="40"/>
      <c r="E277" s="41"/>
    </row>
    <row r="278" spans="4:5">
      <c r="D278" s="40"/>
      <c r="E278" s="41"/>
    </row>
    <row r="279" spans="4:5">
      <c r="D279" s="40"/>
      <c r="E279" s="41"/>
    </row>
    <row r="280" spans="4:5">
      <c r="D280" s="40"/>
      <c r="E280" s="41"/>
    </row>
    <row r="281" spans="4:5">
      <c r="D281" s="40"/>
      <c r="E281" s="41"/>
    </row>
    <row r="282" spans="4:5">
      <c r="D282" s="40"/>
      <c r="E282" s="41"/>
    </row>
    <row r="283" spans="4:5">
      <c r="D283" s="40"/>
      <c r="E283" s="41"/>
    </row>
    <row r="284" spans="4:5">
      <c r="D284" s="40"/>
      <c r="E284" s="41"/>
    </row>
    <row r="285" spans="4:5">
      <c r="D285" s="40"/>
      <c r="E285" s="41"/>
    </row>
    <row r="286" spans="4:5">
      <c r="D286" s="40"/>
      <c r="E286" s="41"/>
    </row>
    <row r="287" spans="4:5">
      <c r="D287" s="40"/>
      <c r="E287" s="41"/>
    </row>
    <row r="288" spans="4:5">
      <c r="D288" s="40"/>
      <c r="E288" s="41"/>
    </row>
    <row r="289" spans="4:5">
      <c r="D289" s="40"/>
      <c r="E289" s="41"/>
    </row>
    <row r="290" spans="4:5">
      <c r="D290" s="40"/>
      <c r="E290" s="41"/>
    </row>
    <row r="291" spans="4:5">
      <c r="D291" s="40"/>
      <c r="E291" s="41"/>
    </row>
    <row r="292" spans="4:5">
      <c r="D292" s="40"/>
      <c r="E292" s="41"/>
    </row>
    <row r="293" spans="4:5">
      <c r="D293" s="40"/>
      <c r="E293" s="41"/>
    </row>
    <row r="294" spans="4:5">
      <c r="D294" s="40"/>
      <c r="E294" s="41"/>
    </row>
    <row r="295" spans="4:5">
      <c r="D295" s="40"/>
      <c r="E295" s="41"/>
    </row>
    <row r="296" spans="4:5">
      <c r="D296" s="40"/>
      <c r="E296" s="41"/>
    </row>
    <row r="297" spans="4:5">
      <c r="D297" s="40"/>
      <c r="E297" s="41"/>
    </row>
    <row r="298" spans="4:5">
      <c r="D298" s="40"/>
      <c r="E298" s="41"/>
    </row>
    <row r="299" spans="4:5">
      <c r="D299" s="40"/>
      <c r="E299" s="41"/>
    </row>
    <row r="300" spans="4:5">
      <c r="D300" s="40"/>
      <c r="E300" s="41"/>
    </row>
    <row r="301" spans="4:5">
      <c r="D301" s="40"/>
      <c r="E301" s="41"/>
    </row>
    <row r="302" spans="4:5">
      <c r="D302" s="40"/>
      <c r="E302" s="41"/>
    </row>
    <row r="303" spans="4:5">
      <c r="D303" s="40"/>
      <c r="E303" s="41"/>
    </row>
    <row r="304" spans="4:5">
      <c r="D304" s="40"/>
      <c r="E304" s="41"/>
    </row>
    <row r="305" spans="4:5">
      <c r="D305" s="40"/>
      <c r="E305" s="41"/>
    </row>
    <row r="306" spans="4:5">
      <c r="D306" s="40"/>
      <c r="E306" s="41"/>
    </row>
    <row r="307" spans="4:5">
      <c r="D307" s="40"/>
      <c r="E307" s="41"/>
    </row>
    <row r="308" spans="4:5">
      <c r="D308" s="40"/>
      <c r="E308" s="41"/>
    </row>
    <row r="309" spans="4:5">
      <c r="D309" s="40"/>
      <c r="E309" s="41"/>
    </row>
    <row r="310" spans="4:5">
      <c r="D310" s="40"/>
      <c r="E310" s="41"/>
    </row>
    <row r="311" spans="4:5">
      <c r="D311" s="40"/>
      <c r="E311" s="41"/>
    </row>
    <row r="312" spans="4:5">
      <c r="D312" s="40"/>
      <c r="E312" s="41"/>
    </row>
    <row r="313" spans="4:5">
      <c r="D313" s="40"/>
      <c r="E313" s="41"/>
    </row>
    <row r="314" spans="4:5">
      <c r="D314" s="40"/>
      <c r="E314" s="41"/>
    </row>
    <row r="315" spans="4:5">
      <c r="D315" s="40"/>
      <c r="E315" s="41"/>
    </row>
    <row r="316" spans="4:5">
      <c r="D316" s="40"/>
      <c r="E316" s="41"/>
    </row>
    <row r="317" spans="4:5">
      <c r="D317" s="40"/>
      <c r="E317" s="41"/>
    </row>
    <row r="318" spans="4:5">
      <c r="D318" s="40"/>
      <c r="E318" s="41"/>
    </row>
    <row r="319" spans="4:5">
      <c r="D319" s="40"/>
      <c r="E319" s="41"/>
    </row>
    <row r="320" spans="4:5">
      <c r="D320" s="40"/>
      <c r="E320" s="41"/>
    </row>
    <row r="321" spans="4:5">
      <c r="D321" s="40"/>
      <c r="E321" s="41"/>
    </row>
    <row r="322" spans="4:5">
      <c r="D322" s="40"/>
      <c r="E322" s="41"/>
    </row>
    <row r="323" spans="4:5">
      <c r="D323" s="40"/>
      <c r="E323" s="41"/>
    </row>
    <row r="324" spans="4:5">
      <c r="D324" s="40"/>
      <c r="E324" s="41"/>
    </row>
    <row r="325" spans="4:5">
      <c r="D325" s="40"/>
      <c r="E325" s="41"/>
    </row>
    <row r="326" spans="4:5">
      <c r="D326" s="40"/>
      <c r="E326" s="41"/>
    </row>
    <row r="327" spans="4:5">
      <c r="D327" s="40"/>
      <c r="E327" s="41"/>
    </row>
    <row r="328" spans="4:5">
      <c r="D328" s="40"/>
      <c r="E328" s="41"/>
    </row>
    <row r="329" spans="4:5">
      <c r="D329" s="40"/>
      <c r="E329" s="41"/>
    </row>
    <row r="330" spans="4:5">
      <c r="D330" s="40"/>
      <c r="E330" s="41"/>
    </row>
    <row r="331" spans="4:5">
      <c r="D331" s="40"/>
      <c r="E331" s="41"/>
    </row>
    <row r="332" spans="4:5">
      <c r="D332" s="40"/>
      <c r="E332" s="41"/>
    </row>
    <row r="333" spans="4:5">
      <c r="D333" s="40"/>
      <c r="E333" s="41"/>
    </row>
    <row r="334" spans="4:5">
      <c r="D334" s="40"/>
      <c r="E334" s="41"/>
    </row>
    <row r="335" spans="4:5">
      <c r="D335" s="40"/>
      <c r="E335" s="41"/>
    </row>
    <row r="336" spans="4:5">
      <c r="D336" s="40"/>
      <c r="E336" s="41"/>
    </row>
    <row r="337" spans="4:5">
      <c r="D337" s="40"/>
      <c r="E337" s="41"/>
    </row>
    <row r="338" spans="4:5">
      <c r="D338" s="40"/>
      <c r="E338" s="41"/>
    </row>
    <row r="339" spans="4:5">
      <c r="D339" s="40"/>
      <c r="E339" s="41"/>
    </row>
    <row r="340" spans="4:5">
      <c r="D340" s="40"/>
      <c r="E340" s="41"/>
    </row>
    <row r="341" spans="4:5">
      <c r="D341" s="40"/>
      <c r="E341" s="41"/>
    </row>
    <row r="342" spans="4:5">
      <c r="D342" s="40"/>
      <c r="E342" s="41"/>
    </row>
    <row r="343" spans="4:5">
      <c r="D343" s="40"/>
      <c r="E343" s="41"/>
    </row>
    <row r="344" spans="4:5">
      <c r="D344" s="40"/>
      <c r="E344" s="41"/>
    </row>
    <row r="345" spans="4:5">
      <c r="D345" s="40"/>
      <c r="E345" s="41"/>
    </row>
    <row r="346" spans="4:5">
      <c r="D346" s="40"/>
      <c r="E346" s="41"/>
    </row>
    <row r="347" spans="4:5">
      <c r="D347" s="40"/>
      <c r="E347" s="41"/>
    </row>
    <row r="348" spans="4:5">
      <c r="D348" s="40"/>
      <c r="E348" s="41"/>
    </row>
    <row r="349" spans="4:5">
      <c r="D349" s="40"/>
      <c r="E349" s="41"/>
    </row>
    <row r="350" spans="4:5">
      <c r="D350" s="40"/>
      <c r="E350" s="41"/>
    </row>
    <row r="351" spans="4:5">
      <c r="D351" s="40"/>
      <c r="E351" s="41"/>
    </row>
    <row r="352" spans="4:5">
      <c r="D352" s="40"/>
      <c r="E352" s="41"/>
    </row>
    <row r="353" spans="4:5">
      <c r="D353" s="40"/>
      <c r="E353" s="41"/>
    </row>
    <row r="354" spans="4:5">
      <c r="D354" s="40"/>
      <c r="E354" s="41"/>
    </row>
    <row r="355" spans="4:5">
      <c r="D355" s="40"/>
      <c r="E355" s="41"/>
    </row>
    <row r="356" spans="4:5">
      <c r="D356" s="40"/>
      <c r="E356" s="41"/>
    </row>
    <row r="357" spans="4:5">
      <c r="D357" s="40"/>
      <c r="E357" s="41"/>
    </row>
    <row r="358" spans="4:5">
      <c r="D358" s="40"/>
      <c r="E358" s="41"/>
    </row>
    <row r="359" spans="4:5">
      <c r="D359" s="40"/>
      <c r="E359" s="41"/>
    </row>
    <row r="360" spans="4:5">
      <c r="D360" s="40"/>
      <c r="E360" s="41"/>
    </row>
    <row r="361" spans="4:5">
      <c r="D361" s="40"/>
      <c r="E361" s="41"/>
    </row>
    <row r="362" spans="4:5">
      <c r="D362" s="40"/>
      <c r="E362" s="41"/>
    </row>
    <row r="363" spans="4:5">
      <c r="D363" s="40"/>
      <c r="E363" s="41"/>
    </row>
    <row r="364" spans="4:5">
      <c r="D364" s="40"/>
      <c r="E364" s="41"/>
    </row>
    <row r="365" spans="4:5">
      <c r="D365" s="40"/>
      <c r="E365" s="41"/>
    </row>
    <row r="366" spans="4:5">
      <c r="D366" s="40"/>
      <c r="E366" s="41"/>
    </row>
    <row r="367" spans="4:5">
      <c r="D367" s="40"/>
      <c r="E367" s="41"/>
    </row>
    <row r="368" spans="4:5">
      <c r="D368" s="40"/>
      <c r="E368" s="41"/>
    </row>
    <row r="369" spans="4:5">
      <c r="D369" s="40"/>
      <c r="E369" s="41"/>
    </row>
    <row r="370" spans="4:5">
      <c r="D370" s="40"/>
      <c r="E370" s="41"/>
    </row>
    <row r="371" spans="4:5">
      <c r="D371" s="40"/>
      <c r="E371" s="41"/>
    </row>
    <row r="372" spans="4:5">
      <c r="D372" s="40"/>
      <c r="E372" s="41"/>
    </row>
    <row r="373" spans="4:5">
      <c r="D373" s="40"/>
      <c r="E373" s="41"/>
    </row>
    <row r="374" spans="4:5">
      <c r="D374" s="40"/>
      <c r="E374" s="41"/>
    </row>
    <row r="375" spans="4:5">
      <c r="D375" s="40"/>
      <c r="E375" s="41"/>
    </row>
    <row r="376" spans="4:5">
      <c r="D376" s="40"/>
      <c r="E376" s="41"/>
    </row>
    <row r="377" spans="4:5">
      <c r="D377" s="40"/>
      <c r="E377" s="41"/>
    </row>
    <row r="378" spans="4:5">
      <c r="D378" s="40"/>
      <c r="E378" s="41"/>
    </row>
    <row r="379" spans="4:5">
      <c r="D379" s="40"/>
      <c r="E379" s="41"/>
    </row>
    <row r="380" spans="4:5">
      <c r="D380" s="40"/>
      <c r="E380" s="41"/>
    </row>
    <row r="381" spans="4:5">
      <c r="D381" s="40"/>
      <c r="E381" s="41"/>
    </row>
    <row r="382" spans="4:5">
      <c r="D382" s="40"/>
      <c r="E382" s="41"/>
    </row>
    <row r="383" spans="4:5">
      <c r="D383" s="40"/>
      <c r="E383" s="41"/>
    </row>
    <row r="384" spans="4:5">
      <c r="D384" s="40"/>
      <c r="E384" s="41"/>
    </row>
    <row r="385" spans="4:5">
      <c r="D385" s="40"/>
      <c r="E385" s="41"/>
    </row>
    <row r="386" spans="4:5">
      <c r="D386" s="40"/>
      <c r="E386" s="41"/>
    </row>
    <row r="387" spans="4:5">
      <c r="D387" s="40"/>
      <c r="E387" s="41"/>
    </row>
    <row r="388" spans="4:5">
      <c r="D388" s="40"/>
      <c r="E388" s="41"/>
    </row>
    <row r="389" spans="4:5">
      <c r="D389" s="40"/>
      <c r="E389" s="41"/>
    </row>
    <row r="390" spans="4:5">
      <c r="D390" s="40"/>
      <c r="E390" s="41"/>
    </row>
    <row r="391" spans="4:5">
      <c r="D391" s="40"/>
      <c r="E391" s="41"/>
    </row>
    <row r="392" spans="4:5">
      <c r="D392" s="40"/>
      <c r="E392" s="41"/>
    </row>
    <row r="393" spans="4:5">
      <c r="D393" s="40"/>
      <c r="E393" s="41"/>
    </row>
    <row r="394" spans="4:5">
      <c r="D394" s="40"/>
      <c r="E394" s="41"/>
    </row>
    <row r="395" spans="4:5">
      <c r="D395" s="40"/>
      <c r="E395" s="41"/>
    </row>
    <row r="396" spans="4:5">
      <c r="D396" s="40"/>
      <c r="E396" s="41"/>
    </row>
    <row r="397" spans="4:5">
      <c r="D397" s="40"/>
      <c r="E397" s="41"/>
    </row>
    <row r="398" spans="4:5">
      <c r="D398" s="40"/>
      <c r="E398" s="41"/>
    </row>
    <row r="399" spans="4:5">
      <c r="D399" s="40"/>
      <c r="E399" s="41"/>
    </row>
    <row r="400" spans="4:5">
      <c r="D400" s="40"/>
      <c r="E400" s="41"/>
    </row>
    <row r="401" spans="4:5">
      <c r="D401" s="40"/>
      <c r="E401" s="41"/>
    </row>
    <row r="402" spans="4:5">
      <c r="D402" s="40"/>
      <c r="E402" s="41"/>
    </row>
    <row r="403" spans="4:5">
      <c r="D403" s="40"/>
      <c r="E403" s="41"/>
    </row>
    <row r="404" spans="4:5">
      <c r="D404" s="40"/>
      <c r="E404" s="41"/>
    </row>
    <row r="405" spans="4:5">
      <c r="D405" s="40"/>
      <c r="E405" s="41"/>
    </row>
    <row r="406" spans="4:5">
      <c r="D406" s="40"/>
      <c r="E406" s="41"/>
    </row>
    <row r="407" spans="4:5">
      <c r="D407" s="40"/>
      <c r="E407" s="41"/>
    </row>
    <row r="408" spans="4:5">
      <c r="D408" s="40"/>
      <c r="E408" s="41"/>
    </row>
    <row r="409" spans="4:5">
      <c r="D409" s="40"/>
      <c r="E409" s="41"/>
    </row>
    <row r="410" spans="4:5">
      <c r="D410" s="40"/>
      <c r="E410" s="41"/>
    </row>
    <row r="411" spans="4:5">
      <c r="D411" s="40"/>
      <c r="E411" s="41"/>
    </row>
    <row r="412" spans="4:5">
      <c r="D412" s="40"/>
      <c r="E412" s="41"/>
    </row>
    <row r="413" spans="4:5">
      <c r="D413" s="40"/>
      <c r="E413" s="41"/>
    </row>
    <row r="414" spans="4:5">
      <c r="D414" s="40"/>
      <c r="E414" s="41"/>
    </row>
    <row r="415" spans="4:5">
      <c r="D415" s="40"/>
      <c r="E415" s="41"/>
    </row>
    <row r="416" spans="4:5">
      <c r="D416" s="40"/>
      <c r="E416" s="41"/>
    </row>
    <row r="417" spans="4:5">
      <c r="D417" s="40"/>
      <c r="E417" s="41"/>
    </row>
    <row r="418" spans="4:5">
      <c r="D418" s="40"/>
      <c r="E418" s="41"/>
    </row>
    <row r="419" spans="4:5">
      <c r="D419" s="40"/>
      <c r="E419" s="41"/>
    </row>
    <row r="420" spans="4:5">
      <c r="D420" s="40"/>
      <c r="E420" s="41"/>
    </row>
    <row r="421" spans="4:5">
      <c r="D421" s="40"/>
      <c r="E421" s="41"/>
    </row>
    <row r="422" spans="4:5">
      <c r="D422" s="40"/>
      <c r="E422" s="41"/>
    </row>
    <row r="423" spans="4:5">
      <c r="D423" s="40"/>
      <c r="E423" s="41"/>
    </row>
    <row r="424" spans="4:5">
      <c r="D424" s="40"/>
      <c r="E424" s="41"/>
    </row>
    <row r="425" spans="4:5">
      <c r="D425" s="40"/>
      <c r="E425" s="41"/>
    </row>
    <row r="426" spans="4:5">
      <c r="D426" s="40"/>
      <c r="E426" s="41"/>
    </row>
    <row r="427" spans="4:5">
      <c r="D427" s="40"/>
      <c r="E427" s="41"/>
    </row>
    <row r="428" spans="4:5">
      <c r="D428" s="40"/>
      <c r="E428" s="41"/>
    </row>
    <row r="429" spans="4:5">
      <c r="D429" s="40"/>
      <c r="E429" s="41"/>
    </row>
    <row r="430" spans="4:5">
      <c r="D430" s="40"/>
      <c r="E430" s="41"/>
    </row>
    <row r="431" spans="4:5">
      <c r="D431" s="40"/>
      <c r="E431" s="41"/>
    </row>
    <row r="432" spans="4:5">
      <c r="D432" s="40"/>
      <c r="E432" s="41"/>
    </row>
    <row r="433" spans="4:5">
      <c r="D433" s="40"/>
      <c r="E433" s="41"/>
    </row>
    <row r="434" spans="4:5">
      <c r="D434" s="40"/>
      <c r="E434" s="41"/>
    </row>
    <row r="435" spans="4:5">
      <c r="D435" s="40"/>
      <c r="E435" s="41"/>
    </row>
    <row r="436" spans="4:5">
      <c r="D436" s="40"/>
      <c r="E436" s="41"/>
    </row>
    <row r="437" spans="4:5">
      <c r="D437" s="40"/>
      <c r="E437" s="41"/>
    </row>
    <row r="438" spans="4:5">
      <c r="D438" s="40"/>
      <c r="E438" s="41"/>
    </row>
    <row r="439" spans="4:5">
      <c r="D439" s="40"/>
      <c r="E439" s="41"/>
    </row>
    <row r="440" spans="4:5">
      <c r="D440" s="40"/>
      <c r="E440" s="41"/>
    </row>
    <row r="441" spans="4:5">
      <c r="D441" s="40"/>
      <c r="E441" s="41"/>
    </row>
    <row r="442" spans="4:5">
      <c r="D442" s="40"/>
      <c r="E442" s="41"/>
    </row>
    <row r="443" spans="4:5">
      <c r="D443" s="40"/>
      <c r="E443" s="41"/>
    </row>
    <row r="444" spans="4:5">
      <c r="D444" s="40"/>
      <c r="E444" s="41"/>
    </row>
    <row r="445" spans="4:5">
      <c r="D445" s="40"/>
      <c r="E445" s="41"/>
    </row>
    <row r="446" spans="4:5">
      <c r="D446" s="40"/>
      <c r="E446" s="41"/>
    </row>
    <row r="447" spans="4:5">
      <c r="D447" s="40"/>
      <c r="E447" s="41"/>
    </row>
    <row r="448" spans="4:5">
      <c r="D448" s="40"/>
      <c r="E448" s="41"/>
    </row>
    <row r="449" spans="4:5">
      <c r="D449" s="40"/>
      <c r="E449" s="41"/>
    </row>
    <row r="450" spans="4:5">
      <c r="D450" s="40"/>
      <c r="E450" s="41"/>
    </row>
    <row r="451" spans="4:5">
      <c r="D451" s="40"/>
      <c r="E451" s="41"/>
    </row>
    <row r="452" spans="4:5">
      <c r="D452" s="40"/>
      <c r="E452" s="41"/>
    </row>
    <row r="453" spans="4:5">
      <c r="D453" s="40"/>
      <c r="E453" s="41"/>
    </row>
    <row r="454" spans="4:5">
      <c r="D454" s="40"/>
      <c r="E454" s="41"/>
    </row>
    <row r="455" spans="4:5">
      <c r="D455" s="40"/>
      <c r="E455" s="41"/>
    </row>
    <row r="456" spans="4:5">
      <c r="D456" s="40"/>
      <c r="E456" s="41"/>
    </row>
    <row r="457" spans="4:5">
      <c r="D457" s="40"/>
      <c r="E457" s="41"/>
    </row>
    <row r="458" spans="4:5">
      <c r="D458" s="40"/>
      <c r="E458" s="41"/>
    </row>
    <row r="459" spans="4:5">
      <c r="D459" s="40"/>
      <c r="E459" s="41"/>
    </row>
    <row r="460" spans="4:5">
      <c r="D460" s="40"/>
      <c r="E460" s="41"/>
    </row>
    <row r="461" spans="4:5">
      <c r="D461" s="40"/>
      <c r="E461" s="41"/>
    </row>
    <row r="462" spans="4:5">
      <c r="D462" s="40"/>
      <c r="E462" s="41"/>
    </row>
    <row r="463" spans="4:5">
      <c r="D463" s="40"/>
      <c r="E463" s="41"/>
    </row>
    <row r="464" spans="4:5">
      <c r="D464" s="40"/>
      <c r="E464" s="41"/>
    </row>
    <row r="465" spans="4:5">
      <c r="D465" s="40"/>
      <c r="E465" s="41"/>
    </row>
    <row r="466" spans="4:5">
      <c r="D466" s="40"/>
      <c r="E466" s="41"/>
    </row>
    <row r="467" spans="4:5">
      <c r="D467" s="40"/>
      <c r="E467" s="41"/>
    </row>
    <row r="468" spans="4:5">
      <c r="D468" s="40"/>
      <c r="E468" s="41"/>
    </row>
    <row r="469" spans="4:5">
      <c r="D469" s="40"/>
      <c r="E469" s="41"/>
    </row>
    <row r="470" spans="4:5">
      <c r="D470" s="40"/>
      <c r="E470" s="41"/>
    </row>
    <row r="471" spans="4:5">
      <c r="D471" s="40"/>
      <c r="E471" s="41"/>
    </row>
    <row r="472" spans="4:5">
      <c r="D472" s="40"/>
      <c r="E472" s="41"/>
    </row>
    <row r="473" spans="4:5">
      <c r="D473" s="40"/>
      <c r="E473" s="41"/>
    </row>
    <row r="474" spans="4:5">
      <c r="D474" s="40"/>
      <c r="E474" s="41"/>
    </row>
    <row r="475" spans="4:5">
      <c r="D475" s="40"/>
      <c r="E475" s="41"/>
    </row>
    <row r="476" spans="4:5">
      <c r="D476" s="40"/>
      <c r="E476" s="41"/>
    </row>
    <row r="477" spans="4:5">
      <c r="D477" s="40"/>
      <c r="E477" s="41"/>
    </row>
    <row r="478" spans="4:5">
      <c r="D478" s="40"/>
      <c r="E478" s="41"/>
    </row>
    <row r="479" spans="4:5">
      <c r="D479" s="40"/>
      <c r="E479" s="41"/>
    </row>
    <row r="480" spans="4:5">
      <c r="D480" s="40"/>
      <c r="E480" s="41"/>
    </row>
    <row r="481" spans="4:5">
      <c r="D481" s="40"/>
      <c r="E481" s="41"/>
    </row>
    <row r="482" spans="4:5">
      <c r="D482" s="40"/>
      <c r="E482" s="41"/>
    </row>
    <row r="483" spans="4:5">
      <c r="D483" s="40"/>
      <c r="E483" s="41"/>
    </row>
    <row r="484" spans="4:5">
      <c r="D484" s="40"/>
      <c r="E484" s="41"/>
    </row>
    <row r="485" spans="4:5">
      <c r="D485" s="40"/>
      <c r="E485" s="41"/>
    </row>
    <row r="486" spans="4:5">
      <c r="D486" s="40"/>
      <c r="E486" s="41"/>
    </row>
    <row r="487" spans="4:5">
      <c r="D487" s="40"/>
      <c r="E487" s="41"/>
    </row>
    <row r="488" spans="4:5">
      <c r="D488" s="40"/>
      <c r="E488" s="41"/>
    </row>
    <row r="489" spans="4:5">
      <c r="D489" s="40"/>
      <c r="E489" s="41"/>
    </row>
    <row r="490" spans="4:5">
      <c r="D490" s="40"/>
      <c r="E490" s="41"/>
    </row>
    <row r="491" spans="4:5">
      <c r="D491" s="40"/>
      <c r="E491" s="41"/>
    </row>
    <row r="492" spans="4:5">
      <c r="D492" s="40"/>
      <c r="E492" s="41"/>
    </row>
    <row r="493" spans="4:5">
      <c r="D493" s="40"/>
      <c r="E493" s="41"/>
    </row>
    <row r="494" spans="4:5">
      <c r="D494" s="40"/>
      <c r="E494" s="41"/>
    </row>
    <row r="495" spans="4:5">
      <c r="D495" s="40"/>
      <c r="E495" s="41"/>
    </row>
    <row r="496" spans="4:5">
      <c r="D496" s="40"/>
      <c r="E496" s="41"/>
    </row>
    <row r="497" spans="4:5">
      <c r="D497" s="40"/>
      <c r="E497" s="41"/>
    </row>
    <row r="498" spans="4:5">
      <c r="D498" s="40"/>
      <c r="E498" s="41"/>
    </row>
    <row r="499" spans="4:5">
      <c r="D499" s="40"/>
      <c r="E499" s="41"/>
    </row>
    <row r="500" spans="4:5">
      <c r="D500" s="40"/>
      <c r="E500" s="41"/>
    </row>
    <row r="501" spans="4:5">
      <c r="D501" s="40"/>
      <c r="E501" s="41"/>
    </row>
    <row r="502" spans="4:5">
      <c r="D502" s="40"/>
      <c r="E502" s="41"/>
    </row>
    <row r="503" spans="4:5">
      <c r="D503" s="40"/>
      <c r="E503" s="41"/>
    </row>
    <row r="504" spans="4:5">
      <c r="D504" s="40"/>
      <c r="E504" s="41"/>
    </row>
    <row r="505" spans="4:5">
      <c r="D505" s="40"/>
      <c r="E505" s="41"/>
    </row>
    <row r="506" spans="4:5">
      <c r="D506" s="40"/>
      <c r="E506" s="41"/>
    </row>
    <row r="507" spans="4:5">
      <c r="D507" s="40"/>
      <c r="E507" s="41"/>
    </row>
    <row r="508" spans="4:5">
      <c r="D508" s="40"/>
      <c r="E508" s="41"/>
    </row>
    <row r="509" spans="4:5">
      <c r="D509" s="40"/>
      <c r="E509" s="41"/>
    </row>
    <row r="510" spans="4:5">
      <c r="D510" s="40"/>
      <c r="E510" s="41"/>
    </row>
    <row r="511" spans="4:5">
      <c r="D511" s="40"/>
      <c r="E511" s="41"/>
    </row>
    <row r="512" spans="4:5">
      <c r="D512" s="40"/>
      <c r="E512" s="41"/>
    </row>
    <row r="513" spans="4:5">
      <c r="D513" s="40"/>
      <c r="E513" s="41"/>
    </row>
    <row r="514" spans="4:5">
      <c r="D514" s="40"/>
      <c r="E514" s="41"/>
    </row>
    <row r="515" spans="4:5">
      <c r="D515" s="40"/>
      <c r="E515" s="41"/>
    </row>
    <row r="516" spans="4:5">
      <c r="D516" s="40"/>
      <c r="E516" s="41"/>
    </row>
    <row r="517" spans="4:5">
      <c r="D517" s="40"/>
      <c r="E517" s="41"/>
    </row>
    <row r="518" spans="4:5">
      <c r="D518" s="40"/>
      <c r="E518" s="41"/>
    </row>
    <row r="519" spans="4:5">
      <c r="D519" s="40"/>
      <c r="E519" s="41"/>
    </row>
    <row r="520" spans="4:5">
      <c r="D520" s="40"/>
      <c r="E520" s="41"/>
    </row>
    <row r="521" spans="4:5">
      <c r="D521" s="40"/>
      <c r="E521" s="41"/>
    </row>
    <row r="522" spans="4:5">
      <c r="D522" s="40"/>
      <c r="E522" s="41"/>
    </row>
    <row r="523" spans="4:5">
      <c r="D523" s="40"/>
      <c r="E523" s="41"/>
    </row>
    <row r="524" spans="4:5">
      <c r="D524" s="40"/>
      <c r="E524" s="41"/>
    </row>
    <row r="525" spans="4:5">
      <c r="D525" s="40"/>
      <c r="E525" s="41"/>
    </row>
    <row r="526" spans="4:5">
      <c r="D526" s="40"/>
      <c r="E526" s="41"/>
    </row>
    <row r="527" spans="4:5">
      <c r="D527" s="40"/>
      <c r="E527" s="41"/>
    </row>
    <row r="528" spans="4:5">
      <c r="D528" s="40"/>
      <c r="E528" s="41"/>
    </row>
    <row r="529" spans="4:5">
      <c r="D529" s="40"/>
      <c r="E529" s="41"/>
    </row>
    <row r="530" spans="4:5">
      <c r="D530" s="40"/>
      <c r="E530" s="41"/>
    </row>
    <row r="531" spans="4:5">
      <c r="D531" s="40"/>
      <c r="E531" s="41"/>
    </row>
    <row r="532" spans="4:5">
      <c r="D532" s="40"/>
      <c r="E532" s="41"/>
    </row>
    <row r="533" spans="4:5">
      <c r="D533" s="40"/>
      <c r="E533" s="41"/>
    </row>
    <row r="534" spans="4:5">
      <c r="D534" s="40"/>
      <c r="E534" s="41"/>
    </row>
    <row r="535" spans="4:5">
      <c r="D535" s="40"/>
      <c r="E535" s="41"/>
    </row>
    <row r="536" spans="4:5">
      <c r="D536" s="40"/>
      <c r="E536" s="41"/>
    </row>
    <row r="537" spans="4:5">
      <c r="D537" s="40"/>
      <c r="E537" s="41"/>
    </row>
    <row r="538" spans="4:5">
      <c r="D538" s="40"/>
      <c r="E538" s="41"/>
    </row>
    <row r="539" spans="4:5">
      <c r="D539" s="40"/>
      <c r="E539" s="41"/>
    </row>
    <row r="540" spans="4:5">
      <c r="D540" s="40"/>
      <c r="E540" s="41"/>
    </row>
    <row r="541" spans="4:5">
      <c r="D541" s="40"/>
      <c r="E541" s="41"/>
    </row>
    <row r="542" spans="4:5">
      <c r="D542" s="40"/>
      <c r="E542" s="41"/>
    </row>
    <row r="543" spans="4:5">
      <c r="D543" s="40"/>
      <c r="E543" s="41"/>
    </row>
    <row r="544" spans="4:5">
      <c r="D544" s="40"/>
      <c r="E544" s="41"/>
    </row>
    <row r="545" spans="4:5">
      <c r="D545" s="40"/>
      <c r="E545" s="41"/>
    </row>
    <row r="546" spans="4:5">
      <c r="D546" s="40"/>
      <c r="E546" s="41"/>
    </row>
    <row r="547" spans="4:5">
      <c r="D547" s="40"/>
      <c r="E547" s="41"/>
    </row>
    <row r="548" spans="4:5">
      <c r="D548" s="40"/>
      <c r="E548" s="41"/>
    </row>
    <row r="549" spans="4:5">
      <c r="D549" s="40"/>
      <c r="E549" s="41"/>
    </row>
    <row r="550" spans="4:5">
      <c r="D550" s="40"/>
      <c r="E550" s="41"/>
    </row>
    <row r="551" spans="4:5">
      <c r="D551" s="40"/>
      <c r="E551" s="41"/>
    </row>
    <row r="552" spans="4:5">
      <c r="D552" s="40"/>
      <c r="E552" s="41"/>
    </row>
    <row r="553" spans="4:5">
      <c r="D553" s="40"/>
      <c r="E553" s="41"/>
    </row>
    <row r="554" spans="4:5">
      <c r="D554" s="40"/>
      <c r="E554" s="41"/>
    </row>
    <row r="555" spans="4:5">
      <c r="D555" s="40"/>
      <c r="E555" s="41"/>
    </row>
    <row r="556" spans="4:5">
      <c r="D556" s="40"/>
      <c r="E556" s="41"/>
    </row>
    <row r="557" spans="4:5">
      <c r="D557" s="40"/>
      <c r="E557" s="41"/>
    </row>
    <row r="558" spans="4:5">
      <c r="D558" s="40"/>
      <c r="E558" s="41"/>
    </row>
    <row r="559" spans="4:5">
      <c r="D559" s="40"/>
      <c r="E559" s="41"/>
    </row>
    <row r="560" spans="4:5">
      <c r="D560" s="40"/>
      <c r="E560" s="41"/>
    </row>
    <row r="561" spans="4:5">
      <c r="D561" s="40"/>
      <c r="E561" s="41"/>
    </row>
    <row r="562" spans="4:5">
      <c r="D562" s="40"/>
      <c r="E562" s="41"/>
    </row>
    <row r="563" spans="4:5">
      <c r="D563" s="40"/>
      <c r="E563" s="41"/>
    </row>
    <row r="564" spans="4:5">
      <c r="D564" s="40"/>
      <c r="E564" s="41"/>
    </row>
    <row r="565" spans="4:5">
      <c r="D565" s="40"/>
      <c r="E565" s="41"/>
    </row>
    <row r="566" spans="4:5">
      <c r="D566" s="40"/>
      <c r="E566" s="41"/>
    </row>
    <row r="567" spans="4:5">
      <c r="D567" s="40"/>
      <c r="E567" s="41"/>
    </row>
    <row r="568" spans="4:5">
      <c r="D568" s="40"/>
      <c r="E568" s="41"/>
    </row>
    <row r="569" spans="4:5">
      <c r="D569" s="40"/>
      <c r="E569" s="41"/>
    </row>
    <row r="570" spans="4:5">
      <c r="D570" s="40"/>
      <c r="E570" s="41"/>
    </row>
    <row r="571" spans="4:5">
      <c r="D571" s="40"/>
      <c r="E571" s="41"/>
    </row>
    <row r="572" spans="4:5">
      <c r="D572" s="40"/>
      <c r="E572" s="41"/>
    </row>
    <row r="573" spans="4:5">
      <c r="D573" s="40"/>
      <c r="E573" s="41"/>
    </row>
    <row r="574" spans="4:5">
      <c r="D574" s="40"/>
      <c r="E574" s="41"/>
    </row>
    <row r="575" spans="4:5">
      <c r="D575" s="40"/>
      <c r="E575" s="41"/>
    </row>
    <row r="576" spans="4:5">
      <c r="D576" s="40"/>
      <c r="E576" s="41"/>
    </row>
    <row r="577" spans="4:5">
      <c r="D577" s="40"/>
      <c r="E577" s="41"/>
    </row>
    <row r="578" spans="4:5">
      <c r="D578" s="40"/>
      <c r="E578" s="41"/>
    </row>
    <row r="579" spans="4:5">
      <c r="D579" s="40"/>
      <c r="E579" s="41"/>
    </row>
    <row r="580" spans="4:5">
      <c r="D580" s="40"/>
      <c r="E580" s="41"/>
    </row>
    <row r="581" spans="4:5">
      <c r="D581" s="40"/>
      <c r="E581" s="41"/>
    </row>
    <row r="582" spans="4:5">
      <c r="D582" s="40"/>
      <c r="E582" s="41"/>
    </row>
    <row r="583" spans="4:5">
      <c r="D583" s="40"/>
      <c r="E583" s="41"/>
    </row>
    <row r="584" spans="4:5">
      <c r="D584" s="40"/>
      <c r="E584" s="41"/>
    </row>
    <row r="585" spans="4:5">
      <c r="D585" s="40"/>
      <c r="E585" s="41"/>
    </row>
    <row r="586" spans="4:5">
      <c r="D586" s="40"/>
      <c r="E586" s="41"/>
    </row>
    <row r="587" spans="4:5">
      <c r="D587" s="40"/>
      <c r="E587" s="41"/>
    </row>
    <row r="588" spans="4:5">
      <c r="D588" s="40"/>
      <c r="E588" s="41"/>
    </row>
    <row r="589" spans="4:5">
      <c r="D589" s="40"/>
      <c r="E589" s="41"/>
    </row>
    <row r="590" spans="4:5">
      <c r="D590" s="40"/>
      <c r="E590" s="41"/>
    </row>
    <row r="591" spans="4:5">
      <c r="D591" s="40"/>
      <c r="E591" s="41"/>
    </row>
    <row r="592" spans="4:5">
      <c r="D592" s="40"/>
      <c r="E592" s="41"/>
    </row>
    <row r="593" spans="4:5">
      <c r="D593" s="40"/>
      <c r="E593" s="41"/>
    </row>
    <row r="594" spans="4:5">
      <c r="D594" s="40"/>
      <c r="E594" s="41"/>
    </row>
    <row r="595" spans="4:5">
      <c r="D595" s="40"/>
      <c r="E595" s="41"/>
    </row>
    <row r="596" spans="4:5">
      <c r="D596" s="40"/>
      <c r="E596" s="41"/>
    </row>
    <row r="597" spans="4:5">
      <c r="D597" s="40"/>
      <c r="E597" s="41"/>
    </row>
    <row r="598" spans="4:5">
      <c r="D598" s="40"/>
      <c r="E598" s="41"/>
    </row>
    <row r="599" spans="4:5">
      <c r="D599" s="40"/>
      <c r="E599" s="41"/>
    </row>
    <row r="600" spans="4:5">
      <c r="D600" s="40"/>
      <c r="E600" s="41"/>
    </row>
    <row r="601" spans="4:5">
      <c r="D601" s="40"/>
      <c r="E601" s="41"/>
    </row>
    <row r="602" spans="4:5">
      <c r="D602" s="40"/>
      <c r="E602" s="41"/>
    </row>
    <row r="603" spans="4:5">
      <c r="D603" s="40"/>
      <c r="E603" s="41"/>
    </row>
    <row r="604" spans="4:5">
      <c r="D604" s="40"/>
      <c r="E604" s="41"/>
    </row>
    <row r="605" spans="4:5">
      <c r="D605" s="40"/>
      <c r="E605" s="41"/>
    </row>
    <row r="606" spans="4:4">
      <c r="D606" s="40"/>
    </row>
    <row r="607" spans="4:4">
      <c r="D607" s="40"/>
    </row>
  </sheetData>
  <mergeCells count="34">
    <mergeCell ref="I47:I48"/>
    <mergeCell ref="I51:I52"/>
    <mergeCell ref="AQ58:AS59"/>
    <mergeCell ref="AW37:BA38"/>
    <mergeCell ref="AW49:AX50"/>
    <mergeCell ref="AF52:AI53"/>
    <mergeCell ref="AL52:AO53"/>
    <mergeCell ref="O52:Q53"/>
    <mergeCell ref="R52:T53"/>
    <mergeCell ref="X52:Z53"/>
    <mergeCell ref="AB52:AD53"/>
    <mergeCell ref="U58:W59"/>
    <mergeCell ref="AM58:AO59"/>
    <mergeCell ref="AW12:AX13"/>
    <mergeCell ref="F24:I25"/>
    <mergeCell ref="AW24:BA25"/>
    <mergeCell ref="AN25:AQ26"/>
    <mergeCell ref="Y27:AH30"/>
    <mergeCell ref="AN27:AQ28"/>
    <mergeCell ref="G28:H29"/>
    <mergeCell ref="AN29:AQ30"/>
    <mergeCell ref="AM5:AP6"/>
    <mergeCell ref="N10:P11"/>
    <mergeCell ref="R10:T11"/>
    <mergeCell ref="Z10:AC11"/>
    <mergeCell ref="AD10:AG11"/>
    <mergeCell ref="AH10:AK11"/>
    <mergeCell ref="AN10:AQ11"/>
    <mergeCell ref="F12:I13"/>
    <mergeCell ref="AO12:AQ13"/>
    <mergeCell ref="N32:R33"/>
    <mergeCell ref="N35:P36"/>
    <mergeCell ref="F36:I37"/>
    <mergeCell ref="N50:P51"/>
  </mergeCells>
  <conditionalFormatting sqref="AM5">
    <cfRule type="containsText" dxfId="0" priority="13" operator="between" text="VDD*">
      <formula>NOT(ISERROR(SEARCH("VDD*",AM5)))</formula>
    </cfRule>
    <cfRule type="cellIs" dxfId="1" priority="14" operator="equal">
      <formula>"VDDP"</formula>
    </cfRule>
    <cfRule type="cellIs" dxfId="2" priority="15" operator="equal">
      <formula>"GND"</formula>
    </cfRule>
  </conditionalFormatting>
  <conditionalFormatting sqref="AD10">
    <cfRule type="containsText" dxfId="0" priority="1" operator="between" text="VDD*">
      <formula>NOT(ISERROR(SEARCH("VDD*",AD10)))</formula>
    </cfRule>
    <cfRule type="cellIs" dxfId="1" priority="2" operator="equal">
      <formula>"VDDP"</formula>
    </cfRule>
    <cfRule type="cellIs" dxfId="2" priority="3" operator="equal">
      <formula>"GND"</formula>
    </cfRule>
  </conditionalFormatting>
  <conditionalFormatting sqref="AH10">
    <cfRule type="containsText" dxfId="0" priority="4" operator="between" text="VDD*">
      <formula>NOT(ISERROR(SEARCH("VDD*",AH10)))</formula>
    </cfRule>
    <cfRule type="cellIs" dxfId="1" priority="5" operator="equal">
      <formula>"VDDP"</formula>
    </cfRule>
    <cfRule type="cellIs" dxfId="2" priority="6" operator="equal">
      <formula>"GND"</formula>
    </cfRule>
  </conditionalFormatting>
  <conditionalFormatting sqref="AN10">
    <cfRule type="containsText" dxfId="0" priority="7" operator="between" text="VDD*">
      <formula>NOT(ISERROR(SEARCH("VDD*",AN10)))</formula>
    </cfRule>
    <cfRule type="cellIs" dxfId="1" priority="8" operator="equal">
      <formula>"VDDP"</formula>
    </cfRule>
    <cfRule type="cellIs" dxfId="2" priority="9" operator="equal">
      <formula>"GND"</formula>
    </cfRule>
  </conditionalFormatting>
  <conditionalFormatting sqref="K7:AT9 Y27:AH30 Q34:W36 M37:W37 S32:W33 AJ32:AR37 N31:AR31 AR29:AR30 W52:W53 N30:X30 N34:P34 V27:X29 M30:M36 AR25:AS28 AR52:AR53 M54:AR56 AI25:AM30 AS29:AS54 AJ53:AK53 AR10:AT10 V26:AH26 Q10:Q11 W10:Y11 M52:N53 M10:M11 K10:L54 X25 AJ52:AL52 AL10:AM11 AI15:AS24 X15:AH20 S15:W18 T19:W25 M12:AN12 S13:AN13 AR11:AS13 M13:M25 S14:AS14 N21:N25 AT11:AT54 N45:O48 Z10">
    <cfRule type="containsText" dxfId="0" priority="25" operator="between" text="VDD*">
      <formula>NOT(ISERROR(SEARCH("VDD*",K7)))</formula>
    </cfRule>
    <cfRule type="cellIs" dxfId="1" priority="26" operator="equal">
      <formula>"VDDP"</formula>
    </cfRule>
    <cfRule type="cellIs" dxfId="2" priority="27" operator="equal">
      <formula>"GND"</formula>
    </cfRule>
  </conditionalFormatting>
  <conditionalFormatting sqref="X21:AH24">
    <cfRule type="containsText" dxfId="0" priority="19" operator="between" text="VDD*">
      <formula>NOT(ISERROR(SEARCH("VDD*",X21)))</formula>
    </cfRule>
    <cfRule type="cellIs" dxfId="1" priority="20" operator="equal">
      <formula>"VDDP"</formula>
    </cfRule>
    <cfRule type="cellIs" dxfId="2" priority="21" operator="equal">
      <formula>"GND"</formula>
    </cfRule>
  </conditionalFormatting>
  <conditionalFormatting sqref="M26:N26 T26:U26 M27:U29">
    <cfRule type="containsText" dxfId="0" priority="22" operator="between" text="VDD*">
      <formula>NOT(ISERROR(SEARCH("VDD*",M26)))</formula>
    </cfRule>
    <cfRule type="cellIs" dxfId="1" priority="23" operator="equal">
      <formula>"VDDP"</formula>
    </cfRule>
    <cfRule type="cellIs" dxfId="2" priority="24" operator="equal">
      <formula>"GND"</formula>
    </cfRule>
  </conditionalFormatting>
  <conditionalFormatting sqref="X32:AI37">
    <cfRule type="containsText" dxfId="0" priority="16" operator="between" text="VDD*">
      <formula>NOT(ISERROR(SEARCH("VDD*",X32)))</formula>
    </cfRule>
    <cfRule type="cellIs" dxfId="1" priority="17" operator="equal">
      <formula>"VDDP"</formula>
    </cfRule>
    <cfRule type="cellIs" dxfId="2" priority="18" operator="equal">
      <formula>"GND"</formula>
    </cfRule>
  </conditionalFormatting>
  <conditionalFormatting sqref="P45:Q48">
    <cfRule type="containsText" dxfId="0" priority="10" operator="between" text="VDD*">
      <formula>NOT(ISERROR(SEARCH("VDD*",P45)))</formula>
    </cfRule>
    <cfRule type="cellIs" dxfId="1" priority="11" operator="equal">
      <formula>"VDDP"</formula>
    </cfRule>
    <cfRule type="cellIs" dxfId="2" priority="12" operator="equal">
      <formula>"GND"</formula>
    </cfRule>
  </conditionalFormatting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opLeftCell="A36" workbookViewId="0">
      <selection activeCell="H68" sqref="H68"/>
    </sheetView>
  </sheetViews>
  <sheetFormatPr defaultColWidth="9" defaultRowHeight="15"/>
  <cols>
    <col min="2" max="2" width="12.75" customWidth="1"/>
    <col min="4" max="4" width="21.5" customWidth="1"/>
    <col min="6" max="6" width="21.75" customWidth="1"/>
    <col min="7" max="7" width="18" customWidth="1"/>
    <col min="8" max="8" width="19.25" customWidth="1"/>
    <col min="9" max="9" width="19.125" customWidth="1"/>
    <col min="10" max="10" width="18.125" customWidth="1"/>
    <col min="11" max="11" width="17.875" customWidth="1"/>
    <col min="12" max="12" width="16" customWidth="1"/>
  </cols>
  <sheetData>
    <row r="1" spans="1:12">
      <c r="A1" s="2"/>
      <c r="B1" s="2"/>
      <c r="C1" s="3" t="s">
        <v>60</v>
      </c>
      <c r="D1" s="4" t="s">
        <v>61</v>
      </c>
      <c r="E1" s="2"/>
      <c r="F1" s="2"/>
      <c r="G1" s="2"/>
      <c r="H1" s="2"/>
      <c r="I1" s="2"/>
      <c r="J1" s="2"/>
      <c r="K1" s="2"/>
      <c r="L1" s="2"/>
    </row>
    <row r="2" spans="1:12">
      <c r="A2" s="5" t="s">
        <v>58</v>
      </c>
      <c r="B2" s="6" t="s">
        <v>59</v>
      </c>
      <c r="C2" s="3"/>
      <c r="D2" s="4"/>
      <c r="E2" s="7" t="s">
        <v>65</v>
      </c>
      <c r="F2" s="6" t="s">
        <v>66</v>
      </c>
      <c r="G2" s="6" t="s">
        <v>67</v>
      </c>
      <c r="H2" s="6" t="s">
        <v>68</v>
      </c>
      <c r="I2" s="6" t="s">
        <v>69</v>
      </c>
      <c r="J2" s="6" t="s">
        <v>70</v>
      </c>
      <c r="K2" s="6" t="s">
        <v>71</v>
      </c>
      <c r="L2" s="27" t="s">
        <v>72</v>
      </c>
    </row>
    <row r="3" spans="1:12">
      <c r="A3" s="8" t="s">
        <v>76</v>
      </c>
      <c r="B3" s="9" t="s">
        <v>77</v>
      </c>
      <c r="C3" s="9"/>
      <c r="D3" s="10" t="s">
        <v>78</v>
      </c>
      <c r="E3" s="9" t="s">
        <v>80</v>
      </c>
      <c r="F3" s="11" t="s">
        <v>81</v>
      </c>
      <c r="G3" s="12"/>
      <c r="H3" s="12"/>
      <c r="I3" s="12"/>
      <c r="J3" s="12"/>
      <c r="K3" s="12"/>
      <c r="L3" s="23"/>
    </row>
    <row r="4" spans="1:12">
      <c r="A4" s="13"/>
      <c r="B4" s="9" t="s">
        <v>85</v>
      </c>
      <c r="C4" s="9"/>
      <c r="D4" s="10" t="s">
        <v>78</v>
      </c>
      <c r="E4" s="9" t="s">
        <v>80</v>
      </c>
      <c r="F4" s="11" t="s">
        <v>86</v>
      </c>
      <c r="G4" s="11"/>
      <c r="H4" s="11"/>
      <c r="I4" s="11"/>
      <c r="J4" s="11"/>
      <c r="K4" s="11"/>
      <c r="L4" s="23"/>
    </row>
    <row r="5" spans="1:12">
      <c r="A5" s="13"/>
      <c r="B5" s="9" t="s">
        <v>88</v>
      </c>
      <c r="C5" s="9"/>
      <c r="D5" s="10" t="s">
        <v>78</v>
      </c>
      <c r="E5" s="9" t="s">
        <v>80</v>
      </c>
      <c r="F5" s="11" t="s">
        <v>89</v>
      </c>
      <c r="G5" s="11" t="s">
        <v>90</v>
      </c>
      <c r="H5" s="11" t="s">
        <v>91</v>
      </c>
      <c r="I5" s="28" t="s">
        <v>92</v>
      </c>
      <c r="J5" s="24" t="s">
        <v>93</v>
      </c>
      <c r="K5" s="11"/>
      <c r="L5" s="23"/>
    </row>
    <row r="6" spans="1:12">
      <c r="A6" s="13"/>
      <c r="B6" s="9" t="s">
        <v>95</v>
      </c>
      <c r="C6" s="9"/>
      <c r="D6" s="10" t="s">
        <v>78</v>
      </c>
      <c r="E6" s="9" t="s">
        <v>80</v>
      </c>
      <c r="F6" s="11" t="s">
        <v>96</v>
      </c>
      <c r="G6" s="11" t="s">
        <v>97</v>
      </c>
      <c r="H6" s="11" t="s">
        <v>98</v>
      </c>
      <c r="I6" s="28" t="s">
        <v>99</v>
      </c>
      <c r="J6" s="24" t="s">
        <v>100</v>
      </c>
      <c r="K6" s="11"/>
      <c r="L6" s="23"/>
    </row>
    <row r="7" spans="1:12">
      <c r="A7" s="13"/>
      <c r="B7" s="9" t="s">
        <v>102</v>
      </c>
      <c r="C7" s="9"/>
      <c r="D7" s="10" t="s">
        <v>78</v>
      </c>
      <c r="E7" s="9" t="s">
        <v>80</v>
      </c>
      <c r="F7" s="11" t="s">
        <v>103</v>
      </c>
      <c r="G7" s="11" t="s">
        <v>104</v>
      </c>
      <c r="H7" s="14"/>
      <c r="I7" s="27"/>
      <c r="J7" s="11"/>
      <c r="K7" s="11"/>
      <c r="L7" s="23"/>
    </row>
    <row r="8" spans="1:12">
      <c r="A8" s="13"/>
      <c r="B8" s="9" t="s">
        <v>106</v>
      </c>
      <c r="C8" s="9"/>
      <c r="D8" s="10" t="s">
        <v>78</v>
      </c>
      <c r="E8" s="9" t="s">
        <v>80</v>
      </c>
      <c r="F8" s="11" t="s">
        <v>107</v>
      </c>
      <c r="G8" s="11" t="s">
        <v>108</v>
      </c>
      <c r="H8" s="14"/>
      <c r="I8" s="11"/>
      <c r="J8" s="11"/>
      <c r="K8" s="11"/>
      <c r="L8" s="23"/>
    </row>
    <row r="9" spans="1:12">
      <c r="A9" s="13"/>
      <c r="B9" s="9" t="s">
        <v>110</v>
      </c>
      <c r="C9" s="9"/>
      <c r="D9" s="10" t="s">
        <v>111</v>
      </c>
      <c r="E9" s="9" t="s">
        <v>80</v>
      </c>
      <c r="F9" s="11" t="s">
        <v>112</v>
      </c>
      <c r="G9" s="7" t="s">
        <v>113</v>
      </c>
      <c r="H9" s="11" t="s">
        <v>114</v>
      </c>
      <c r="I9" s="29" t="s">
        <v>90</v>
      </c>
      <c r="J9" s="24" t="s">
        <v>93</v>
      </c>
      <c r="K9" s="11"/>
      <c r="L9" s="23"/>
    </row>
    <row r="10" spans="1:12">
      <c r="A10" s="13"/>
      <c r="B10" s="9" t="s">
        <v>116</v>
      </c>
      <c r="C10" s="9"/>
      <c r="D10" s="10" t="s">
        <v>111</v>
      </c>
      <c r="E10" s="9" t="s">
        <v>80</v>
      </c>
      <c r="F10" s="6" t="s">
        <v>117</v>
      </c>
      <c r="G10" s="7" t="s">
        <v>118</v>
      </c>
      <c r="H10" s="11" t="s">
        <v>119</v>
      </c>
      <c r="I10" s="29" t="s">
        <v>97</v>
      </c>
      <c r="J10" s="24" t="s">
        <v>100</v>
      </c>
      <c r="K10" s="11"/>
      <c r="L10" s="23"/>
    </row>
    <row r="11" spans="1:12">
      <c r="A11" s="13"/>
      <c r="B11" s="9" t="s">
        <v>121</v>
      </c>
      <c r="C11" s="9"/>
      <c r="D11" s="10" t="s">
        <v>78</v>
      </c>
      <c r="E11" s="9" t="s">
        <v>80</v>
      </c>
      <c r="F11" s="11" t="s">
        <v>122</v>
      </c>
      <c r="G11" s="11"/>
      <c r="H11" s="11"/>
      <c r="I11" s="11"/>
      <c r="J11" s="11"/>
      <c r="K11" s="11"/>
      <c r="L11" s="23"/>
    </row>
    <row r="12" spans="1:12">
      <c r="A12" s="13"/>
      <c r="B12" s="9" t="s">
        <v>124</v>
      </c>
      <c r="C12" s="9"/>
      <c r="D12" s="10" t="s">
        <v>78</v>
      </c>
      <c r="E12" s="9" t="s">
        <v>80</v>
      </c>
      <c r="F12" s="11" t="s">
        <v>125</v>
      </c>
      <c r="G12" s="11"/>
      <c r="H12" s="11"/>
      <c r="I12" s="11"/>
      <c r="J12" s="11"/>
      <c r="K12" s="11"/>
      <c r="L12" s="23"/>
    </row>
    <row r="13" spans="1:12">
      <c r="A13" s="13"/>
      <c r="B13" s="9" t="s">
        <v>126</v>
      </c>
      <c r="C13" s="9"/>
      <c r="D13" s="10" t="s">
        <v>111</v>
      </c>
      <c r="E13" s="9" t="s">
        <v>80</v>
      </c>
      <c r="F13" s="7" t="s">
        <v>127</v>
      </c>
      <c r="G13" s="7"/>
      <c r="H13" s="11"/>
      <c r="I13" s="11"/>
      <c r="J13" s="11"/>
      <c r="K13" s="11"/>
      <c r="L13" s="23"/>
    </row>
    <row r="14" spans="1:12">
      <c r="A14" s="13"/>
      <c r="B14" s="9" t="s">
        <v>128</v>
      </c>
      <c r="C14" s="9"/>
      <c r="D14" s="10" t="s">
        <v>111</v>
      </c>
      <c r="E14" s="9" t="s">
        <v>80</v>
      </c>
      <c r="F14" s="7" t="s">
        <v>129</v>
      </c>
      <c r="G14" s="7"/>
      <c r="H14" s="11"/>
      <c r="I14" s="11"/>
      <c r="J14" s="11"/>
      <c r="K14" s="11"/>
      <c r="L14" s="23"/>
    </row>
    <row r="15" spans="1:12">
      <c r="A15" s="13"/>
      <c r="B15" s="9" t="s">
        <v>130</v>
      </c>
      <c r="C15" s="9"/>
      <c r="D15" s="15" t="s">
        <v>131</v>
      </c>
      <c r="E15" s="9" t="s">
        <v>80</v>
      </c>
      <c r="F15" s="6" t="s">
        <v>132</v>
      </c>
      <c r="G15" s="6"/>
      <c r="H15" s="11"/>
      <c r="I15" s="11"/>
      <c r="J15" s="11"/>
      <c r="K15" s="11"/>
      <c r="L15" s="23"/>
    </row>
    <row r="16" spans="1:12">
      <c r="A16" s="16"/>
      <c r="B16" s="9" t="s">
        <v>133</v>
      </c>
      <c r="C16" s="9"/>
      <c r="D16" s="15" t="s">
        <v>131</v>
      </c>
      <c r="E16" s="9" t="s">
        <v>80</v>
      </c>
      <c r="F16" s="6" t="s">
        <v>132</v>
      </c>
      <c r="G16" s="6"/>
      <c r="H16" s="11"/>
      <c r="I16" s="11"/>
      <c r="J16" s="11"/>
      <c r="K16" s="11"/>
      <c r="L16" s="23"/>
    </row>
    <row r="17" spans="1:12">
      <c r="A17" s="4" t="s">
        <v>134</v>
      </c>
      <c r="B17" s="6" t="s">
        <v>135</v>
      </c>
      <c r="C17" s="6"/>
      <c r="D17" s="6" t="s">
        <v>136</v>
      </c>
      <c r="E17" s="6" t="s">
        <v>80</v>
      </c>
      <c r="F17" s="6"/>
      <c r="G17" s="9"/>
      <c r="H17" s="9"/>
      <c r="I17" s="9"/>
      <c r="J17" s="9"/>
      <c r="K17" s="9"/>
      <c r="L17" s="9"/>
    </row>
    <row r="18" spans="1:12">
      <c r="A18" s="4"/>
      <c r="B18" s="6" t="s">
        <v>139</v>
      </c>
      <c r="C18" s="6"/>
      <c r="D18" s="6" t="s">
        <v>136</v>
      </c>
      <c r="E18" s="6" t="s">
        <v>80</v>
      </c>
      <c r="F18" s="6"/>
      <c r="G18" s="9"/>
      <c r="H18" s="9"/>
      <c r="I18" s="9"/>
      <c r="J18" s="9"/>
      <c r="K18" s="9"/>
      <c r="L18" s="9"/>
    </row>
    <row r="19" spans="1:12">
      <c r="A19" s="4"/>
      <c r="B19" s="6" t="s">
        <v>143</v>
      </c>
      <c r="C19" s="17" t="s">
        <v>144</v>
      </c>
      <c r="D19" s="6" t="s">
        <v>136</v>
      </c>
      <c r="E19" s="6" t="s">
        <v>80</v>
      </c>
      <c r="F19" s="18" t="s">
        <v>146</v>
      </c>
      <c r="G19" s="6"/>
      <c r="H19" s="6"/>
      <c r="I19" s="18" t="s">
        <v>147</v>
      </c>
      <c r="J19" s="6"/>
      <c r="K19" s="6"/>
      <c r="L19" s="7"/>
    </row>
    <row r="20" spans="1:12">
      <c r="A20" s="4"/>
      <c r="B20" s="6" t="s">
        <v>150</v>
      </c>
      <c r="C20" s="17" t="s">
        <v>151</v>
      </c>
      <c r="D20" s="6" t="s">
        <v>136</v>
      </c>
      <c r="E20" s="6" t="s">
        <v>80</v>
      </c>
      <c r="F20" s="18" t="s">
        <v>152</v>
      </c>
      <c r="G20" s="6"/>
      <c r="H20" s="6"/>
      <c r="I20" s="10" t="s">
        <v>153</v>
      </c>
      <c r="J20" s="6"/>
      <c r="K20" s="6"/>
      <c r="L20" s="7"/>
    </row>
    <row r="21" spans="1:12">
      <c r="A21" s="4"/>
      <c r="B21" s="6" t="s">
        <v>155</v>
      </c>
      <c r="C21" s="17" t="s">
        <v>156</v>
      </c>
      <c r="D21" s="6" t="s">
        <v>136</v>
      </c>
      <c r="E21" s="6" t="s">
        <v>80</v>
      </c>
      <c r="F21" s="18" t="s">
        <v>157</v>
      </c>
      <c r="G21" s="6"/>
      <c r="H21" s="6"/>
      <c r="I21" s="10" t="s">
        <v>158</v>
      </c>
      <c r="J21" s="6"/>
      <c r="K21" s="6"/>
      <c r="L21" s="7"/>
    </row>
    <row r="22" spans="1:12">
      <c r="A22" s="4"/>
      <c r="B22" s="6" t="s">
        <v>160</v>
      </c>
      <c r="C22" s="17" t="s">
        <v>161</v>
      </c>
      <c r="D22" s="6" t="s">
        <v>136</v>
      </c>
      <c r="E22" s="6" t="s">
        <v>80</v>
      </c>
      <c r="F22" s="18" t="s">
        <v>162</v>
      </c>
      <c r="G22" s="6"/>
      <c r="H22" s="6"/>
      <c r="I22" s="10" t="s">
        <v>163</v>
      </c>
      <c r="J22" s="6"/>
      <c r="K22" s="6"/>
      <c r="L22" s="7"/>
    </row>
    <row r="23" spans="1:12">
      <c r="A23" s="4"/>
      <c r="B23" s="6" t="s">
        <v>165</v>
      </c>
      <c r="C23" s="6"/>
      <c r="D23" s="6" t="s">
        <v>136</v>
      </c>
      <c r="E23" s="6" t="s">
        <v>80</v>
      </c>
      <c r="F23" s="18" t="s">
        <v>166</v>
      </c>
      <c r="G23" s="19" t="s">
        <v>167</v>
      </c>
      <c r="H23" s="6"/>
      <c r="I23" s="10" t="s">
        <v>168</v>
      </c>
      <c r="J23" s="6"/>
      <c r="K23" s="6"/>
      <c r="L23" s="7"/>
    </row>
    <row r="24" spans="1:12">
      <c r="A24" s="4"/>
      <c r="B24" s="6" t="s">
        <v>170</v>
      </c>
      <c r="C24" s="17" t="s">
        <v>171</v>
      </c>
      <c r="D24" s="6" t="s">
        <v>136</v>
      </c>
      <c r="E24" s="6" t="s">
        <v>80</v>
      </c>
      <c r="F24" s="18" t="s">
        <v>172</v>
      </c>
      <c r="G24" s="6"/>
      <c r="H24" s="6"/>
      <c r="I24" s="10" t="s">
        <v>173</v>
      </c>
      <c r="J24" s="6"/>
      <c r="K24" s="6"/>
      <c r="L24" s="6"/>
    </row>
    <row r="25" spans="1:12">
      <c r="A25" s="4"/>
      <c r="B25" s="6" t="s">
        <v>176</v>
      </c>
      <c r="C25" s="17" t="s">
        <v>177</v>
      </c>
      <c r="D25" s="6" t="s">
        <v>136</v>
      </c>
      <c r="E25" s="6" t="s">
        <v>80</v>
      </c>
      <c r="F25" s="6" t="s">
        <v>178</v>
      </c>
      <c r="G25" s="6"/>
      <c r="H25" s="7"/>
      <c r="I25" s="6"/>
      <c r="J25" s="6"/>
      <c r="K25" s="6"/>
      <c r="L25" s="6"/>
    </row>
    <row r="26" spans="1:12">
      <c r="A26" s="4"/>
      <c r="B26" s="6" t="s">
        <v>180</v>
      </c>
      <c r="C26" s="17" t="s">
        <v>181</v>
      </c>
      <c r="D26" s="6" t="s">
        <v>136</v>
      </c>
      <c r="E26" s="6" t="s">
        <v>80</v>
      </c>
      <c r="F26" s="6" t="s">
        <v>182</v>
      </c>
      <c r="G26" s="6"/>
      <c r="H26" s="7"/>
      <c r="I26" s="6"/>
      <c r="J26" s="6"/>
      <c r="K26" s="6"/>
      <c r="L26" s="6"/>
    </row>
    <row r="27" spans="1:12">
      <c r="A27" s="4"/>
      <c r="B27" s="6" t="s">
        <v>184</v>
      </c>
      <c r="C27" s="17" t="s">
        <v>185</v>
      </c>
      <c r="D27" s="6" t="s">
        <v>136</v>
      </c>
      <c r="E27" s="6" t="s">
        <v>80</v>
      </c>
      <c r="F27" s="6" t="s">
        <v>186</v>
      </c>
      <c r="G27" s="7" t="s">
        <v>187</v>
      </c>
      <c r="H27" s="7" t="s">
        <v>188</v>
      </c>
      <c r="I27" s="6"/>
      <c r="J27" s="6"/>
      <c r="K27" s="6"/>
      <c r="L27" s="6"/>
    </row>
    <row r="28" spans="1:12">
      <c r="A28" s="4"/>
      <c r="B28" s="6" t="s">
        <v>191</v>
      </c>
      <c r="C28" s="17" t="s">
        <v>192</v>
      </c>
      <c r="D28" s="6" t="s">
        <v>136</v>
      </c>
      <c r="E28" s="6" t="s">
        <v>80</v>
      </c>
      <c r="F28" s="6" t="s">
        <v>193</v>
      </c>
      <c r="G28" s="7" t="s">
        <v>194</v>
      </c>
      <c r="H28" s="7" t="s">
        <v>195</v>
      </c>
      <c r="I28" s="30" t="s">
        <v>196</v>
      </c>
      <c r="J28" s="6"/>
      <c r="K28" s="6"/>
      <c r="L28" s="6"/>
    </row>
    <row r="29" spans="1:12">
      <c r="A29" s="4"/>
      <c r="B29" s="6" t="s">
        <v>198</v>
      </c>
      <c r="C29" s="17" t="s">
        <v>199</v>
      </c>
      <c r="D29" s="6" t="s">
        <v>136</v>
      </c>
      <c r="E29" s="6" t="s">
        <v>80</v>
      </c>
      <c r="F29" s="6" t="s">
        <v>187</v>
      </c>
      <c r="G29" s="18" t="s">
        <v>178</v>
      </c>
      <c r="H29" s="6"/>
      <c r="I29" s="6"/>
      <c r="J29" s="6"/>
      <c r="K29" s="6"/>
      <c r="L29" s="6"/>
    </row>
    <row r="30" spans="1:12">
      <c r="A30" s="4"/>
      <c r="B30" s="6" t="s">
        <v>201</v>
      </c>
      <c r="C30" s="17" t="s">
        <v>202</v>
      </c>
      <c r="D30" s="6" t="s">
        <v>136</v>
      </c>
      <c r="E30" s="6" t="s">
        <v>80</v>
      </c>
      <c r="F30" s="6" t="s">
        <v>194</v>
      </c>
      <c r="G30" s="18" t="s">
        <v>182</v>
      </c>
      <c r="H30" s="6"/>
      <c r="I30" s="30" t="s">
        <v>203</v>
      </c>
      <c r="J30" s="6"/>
      <c r="K30" s="7"/>
      <c r="L30" s="6"/>
    </row>
    <row r="31" spans="1:12">
      <c r="A31" s="4"/>
      <c r="B31" s="6" t="s">
        <v>205</v>
      </c>
      <c r="C31" s="17" t="s">
        <v>206</v>
      </c>
      <c r="D31" s="6" t="s">
        <v>136</v>
      </c>
      <c r="E31" s="6" t="s">
        <v>80</v>
      </c>
      <c r="F31" s="18" t="s">
        <v>91</v>
      </c>
      <c r="G31" s="7" t="s">
        <v>90</v>
      </c>
      <c r="H31" s="6"/>
      <c r="I31" s="6"/>
      <c r="J31" s="6"/>
      <c r="K31" s="7"/>
      <c r="L31" s="6"/>
    </row>
    <row r="32" spans="1:12">
      <c r="A32" s="4"/>
      <c r="B32" s="6" t="s">
        <v>208</v>
      </c>
      <c r="C32" s="17" t="s">
        <v>209</v>
      </c>
      <c r="D32" s="6" t="s">
        <v>136</v>
      </c>
      <c r="E32" s="6" t="s">
        <v>80</v>
      </c>
      <c r="F32" s="18" t="s">
        <v>98</v>
      </c>
      <c r="G32" s="7" t="s">
        <v>97</v>
      </c>
      <c r="H32" s="6"/>
      <c r="I32" s="6"/>
      <c r="J32" s="6"/>
      <c r="K32" s="7"/>
      <c r="L32" s="7"/>
    </row>
    <row r="33" spans="1:12">
      <c r="A33" s="4"/>
      <c r="B33" s="6" t="s">
        <v>211</v>
      </c>
      <c r="C33" s="17" t="s">
        <v>212</v>
      </c>
      <c r="D33" s="6" t="s">
        <v>136</v>
      </c>
      <c r="E33" s="6" t="s">
        <v>80</v>
      </c>
      <c r="F33" s="18" t="s">
        <v>114</v>
      </c>
      <c r="G33" s="18" t="s">
        <v>186</v>
      </c>
      <c r="H33" s="18" t="s">
        <v>188</v>
      </c>
      <c r="I33" s="6"/>
      <c r="J33" s="6"/>
      <c r="K33" s="7"/>
      <c r="L33" s="7"/>
    </row>
    <row r="34" spans="1:12">
      <c r="A34" s="4"/>
      <c r="B34" s="6" t="s">
        <v>214</v>
      </c>
      <c r="C34" s="17" t="s">
        <v>215</v>
      </c>
      <c r="D34" s="6" t="s">
        <v>136</v>
      </c>
      <c r="E34" s="6" t="s">
        <v>80</v>
      </c>
      <c r="F34" s="18" t="s">
        <v>119</v>
      </c>
      <c r="G34" s="18" t="s">
        <v>193</v>
      </c>
      <c r="H34" s="18" t="s">
        <v>195</v>
      </c>
      <c r="I34" s="6"/>
      <c r="J34" s="6"/>
      <c r="K34" s="7"/>
      <c r="L34" s="7"/>
    </row>
    <row r="35" spans="1:12">
      <c r="A35" s="8" t="s">
        <v>217</v>
      </c>
      <c r="B35" s="9" t="s">
        <v>218</v>
      </c>
      <c r="C35" s="20"/>
      <c r="D35" s="21" t="s">
        <v>78</v>
      </c>
      <c r="E35" s="6" t="s">
        <v>80</v>
      </c>
      <c r="F35" s="18" t="s">
        <v>219</v>
      </c>
      <c r="G35" s="6"/>
      <c r="H35" s="6"/>
      <c r="I35" s="6"/>
      <c r="J35" s="6"/>
      <c r="K35" s="31" t="s">
        <v>220</v>
      </c>
      <c r="L35" s="23"/>
    </row>
    <row r="36" spans="1:12">
      <c r="A36" s="13"/>
      <c r="B36" s="9" t="s">
        <v>223</v>
      </c>
      <c r="C36" s="22" t="s">
        <v>224</v>
      </c>
      <c r="D36" s="6" t="s">
        <v>136</v>
      </c>
      <c r="E36" s="6" t="s">
        <v>80</v>
      </c>
      <c r="F36" s="7" t="s">
        <v>225</v>
      </c>
      <c r="G36" s="6"/>
      <c r="H36" s="6"/>
      <c r="I36" s="6"/>
      <c r="J36" s="32" t="s">
        <v>226</v>
      </c>
      <c r="K36" s="31" t="s">
        <v>227</v>
      </c>
      <c r="L36" s="7"/>
    </row>
    <row r="37" spans="1:12">
      <c r="A37" s="13"/>
      <c r="B37" s="9" t="s">
        <v>228</v>
      </c>
      <c r="C37" s="22" t="s">
        <v>229</v>
      </c>
      <c r="D37" s="6" t="s">
        <v>136</v>
      </c>
      <c r="E37" s="6" t="s">
        <v>80</v>
      </c>
      <c r="F37" s="7" t="s">
        <v>230</v>
      </c>
      <c r="G37" s="10" t="s">
        <v>231</v>
      </c>
      <c r="H37" s="23"/>
      <c r="I37" s="23"/>
      <c r="J37" s="32" t="s">
        <v>232</v>
      </c>
      <c r="K37" s="31" t="s">
        <v>233</v>
      </c>
      <c r="L37" s="7"/>
    </row>
    <row r="38" spans="1:12">
      <c r="A38" s="13"/>
      <c r="B38" s="9" t="s">
        <v>234</v>
      </c>
      <c r="C38" s="22" t="s">
        <v>235</v>
      </c>
      <c r="D38" s="6" t="s">
        <v>136</v>
      </c>
      <c r="E38" s="6" t="s">
        <v>80</v>
      </c>
      <c r="F38" s="7" t="s">
        <v>236</v>
      </c>
      <c r="G38" s="10" t="s">
        <v>237</v>
      </c>
      <c r="H38" s="23"/>
      <c r="I38" s="23"/>
      <c r="J38" s="32" t="s">
        <v>238</v>
      </c>
      <c r="K38" s="31" t="s">
        <v>239</v>
      </c>
      <c r="L38" s="7"/>
    </row>
    <row r="39" spans="1:12">
      <c r="A39" s="13"/>
      <c r="B39" s="9" t="s">
        <v>240</v>
      </c>
      <c r="C39" s="22" t="s">
        <v>241</v>
      </c>
      <c r="D39" s="6" t="s">
        <v>136</v>
      </c>
      <c r="E39" s="6" t="s">
        <v>80</v>
      </c>
      <c r="F39" s="7" t="s">
        <v>242</v>
      </c>
      <c r="G39" s="18" t="s">
        <v>243</v>
      </c>
      <c r="H39" s="23"/>
      <c r="I39" s="23"/>
      <c r="J39" s="32" t="s">
        <v>244</v>
      </c>
      <c r="K39" s="31" t="s">
        <v>245</v>
      </c>
      <c r="L39" s="7"/>
    </row>
    <row r="40" spans="1:12">
      <c r="A40" s="13"/>
      <c r="B40" s="9" t="s">
        <v>246</v>
      </c>
      <c r="C40" s="22" t="s">
        <v>247</v>
      </c>
      <c r="D40" s="6" t="s">
        <v>136</v>
      </c>
      <c r="E40" s="6" t="s">
        <v>80</v>
      </c>
      <c r="F40" s="7" t="s">
        <v>248</v>
      </c>
      <c r="G40" s="10" t="s">
        <v>249</v>
      </c>
      <c r="H40" s="23"/>
      <c r="I40" s="23"/>
      <c r="J40" s="32" t="s">
        <v>250</v>
      </c>
      <c r="K40" s="31" t="s">
        <v>251</v>
      </c>
      <c r="L40" s="7"/>
    </row>
    <row r="41" spans="1:12">
      <c r="A41" s="13"/>
      <c r="B41" s="9" t="s">
        <v>252</v>
      </c>
      <c r="C41" s="22" t="s">
        <v>253</v>
      </c>
      <c r="D41" s="6" t="s">
        <v>136</v>
      </c>
      <c r="E41" s="6" t="s">
        <v>80</v>
      </c>
      <c r="F41" s="7" t="s">
        <v>254</v>
      </c>
      <c r="G41" s="10" t="s">
        <v>255</v>
      </c>
      <c r="H41" s="6"/>
      <c r="I41" s="6"/>
      <c r="J41" s="32" t="s">
        <v>256</v>
      </c>
      <c r="K41" s="31" t="s">
        <v>257</v>
      </c>
      <c r="L41" s="7"/>
    </row>
    <row r="42" spans="1:12">
      <c r="A42" s="13"/>
      <c r="B42" s="9" t="s">
        <v>258</v>
      </c>
      <c r="C42" s="22" t="s">
        <v>259</v>
      </c>
      <c r="D42" s="6" t="s">
        <v>136</v>
      </c>
      <c r="E42" s="6" t="s">
        <v>80</v>
      </c>
      <c r="F42" s="7" t="s">
        <v>260</v>
      </c>
      <c r="G42" s="10" t="s">
        <v>261</v>
      </c>
      <c r="H42" s="7"/>
      <c r="I42" s="6"/>
      <c r="J42" s="32" t="s">
        <v>262</v>
      </c>
      <c r="K42" s="31" t="s">
        <v>263</v>
      </c>
      <c r="L42" s="7"/>
    </row>
    <row r="43" spans="1:12">
      <c r="A43" s="13"/>
      <c r="B43" s="9" t="s">
        <v>264</v>
      </c>
      <c r="C43" s="22" t="s">
        <v>265</v>
      </c>
      <c r="D43" s="6" t="s">
        <v>136</v>
      </c>
      <c r="E43" s="6" t="s">
        <v>80</v>
      </c>
      <c r="F43" s="7" t="s">
        <v>266</v>
      </c>
      <c r="G43" s="6" t="s">
        <v>173</v>
      </c>
      <c r="H43" s="6" t="s">
        <v>267</v>
      </c>
      <c r="I43" s="10" t="s">
        <v>268</v>
      </c>
      <c r="J43" s="32" t="s">
        <v>269</v>
      </c>
      <c r="K43" s="31" t="s">
        <v>270</v>
      </c>
      <c r="L43" s="7"/>
    </row>
    <row r="44" spans="1:12">
      <c r="A44" s="13"/>
      <c r="B44" s="9" t="s">
        <v>272</v>
      </c>
      <c r="C44" s="22" t="s">
        <v>273</v>
      </c>
      <c r="D44" s="6" t="s">
        <v>136</v>
      </c>
      <c r="E44" s="6" t="s">
        <v>80</v>
      </c>
      <c r="F44" s="7" t="s">
        <v>274</v>
      </c>
      <c r="G44" s="6" t="s">
        <v>153</v>
      </c>
      <c r="H44" s="6" t="s">
        <v>275</v>
      </c>
      <c r="I44" s="10" t="s">
        <v>268</v>
      </c>
      <c r="J44" s="32" t="s">
        <v>276</v>
      </c>
      <c r="K44" s="31" t="s">
        <v>277</v>
      </c>
      <c r="L44" s="7"/>
    </row>
    <row r="45" spans="1:12">
      <c r="A45" s="13"/>
      <c r="B45" s="9" t="s">
        <v>278</v>
      </c>
      <c r="C45" s="22" t="s">
        <v>279</v>
      </c>
      <c r="D45" s="6" t="s">
        <v>136</v>
      </c>
      <c r="E45" s="6" t="s">
        <v>80</v>
      </c>
      <c r="F45" s="7" t="s">
        <v>280</v>
      </c>
      <c r="G45" s="6" t="s">
        <v>147</v>
      </c>
      <c r="H45" s="6" t="s">
        <v>281</v>
      </c>
      <c r="I45" s="6"/>
      <c r="J45" s="32" t="s">
        <v>282</v>
      </c>
      <c r="K45" s="31" t="s">
        <v>283</v>
      </c>
      <c r="L45" s="7"/>
    </row>
    <row r="46" spans="1:12">
      <c r="A46" s="13"/>
      <c r="B46" s="9" t="s">
        <v>284</v>
      </c>
      <c r="C46" s="22" t="s">
        <v>285</v>
      </c>
      <c r="D46" s="6" t="s">
        <v>136</v>
      </c>
      <c r="E46" s="6" t="s">
        <v>80</v>
      </c>
      <c r="F46" s="7" t="s">
        <v>286</v>
      </c>
      <c r="G46" s="6" t="s">
        <v>168</v>
      </c>
      <c r="H46" s="6" t="s">
        <v>287</v>
      </c>
      <c r="I46" s="19" t="s">
        <v>167</v>
      </c>
      <c r="J46" s="6"/>
      <c r="K46" s="31" t="s">
        <v>288</v>
      </c>
      <c r="L46" s="7"/>
    </row>
    <row r="47" spans="1:12">
      <c r="A47" s="13"/>
      <c r="B47" s="9" t="s">
        <v>289</v>
      </c>
      <c r="C47" s="22" t="s">
        <v>290</v>
      </c>
      <c r="D47" s="6" t="s">
        <v>136</v>
      </c>
      <c r="E47" s="6" t="s">
        <v>80</v>
      </c>
      <c r="F47" s="7" t="s">
        <v>291</v>
      </c>
      <c r="G47" s="6" t="s">
        <v>267</v>
      </c>
      <c r="H47" s="6"/>
      <c r="I47" s="10" t="s">
        <v>268</v>
      </c>
      <c r="J47" s="32" t="s">
        <v>292</v>
      </c>
      <c r="K47" s="31" t="s">
        <v>293</v>
      </c>
      <c r="L47" s="7"/>
    </row>
    <row r="48" spans="1:12">
      <c r="A48" s="13"/>
      <c r="B48" s="9" t="s">
        <v>294</v>
      </c>
      <c r="C48" s="22" t="s">
        <v>295</v>
      </c>
      <c r="D48" s="6" t="s">
        <v>136</v>
      </c>
      <c r="E48" s="6" t="s">
        <v>80</v>
      </c>
      <c r="F48" s="6" t="s">
        <v>275</v>
      </c>
      <c r="G48" s="6"/>
      <c r="H48" s="6"/>
      <c r="I48" s="10" t="s">
        <v>268</v>
      </c>
      <c r="J48" s="32" t="s">
        <v>296</v>
      </c>
      <c r="K48" s="31" t="s">
        <v>297</v>
      </c>
      <c r="L48" s="7"/>
    </row>
    <row r="49" spans="1:12">
      <c r="A49" s="13"/>
      <c r="B49" s="9" t="s">
        <v>298</v>
      </c>
      <c r="C49" s="22" t="s">
        <v>299</v>
      </c>
      <c r="D49" s="6" t="s">
        <v>136</v>
      </c>
      <c r="E49" s="6" t="s">
        <v>80</v>
      </c>
      <c r="F49" s="6" t="s">
        <v>281</v>
      </c>
      <c r="G49" s="6"/>
      <c r="H49" s="6"/>
      <c r="I49" s="6"/>
      <c r="J49" s="32" t="s">
        <v>300</v>
      </c>
      <c r="K49" s="31" t="s">
        <v>301</v>
      </c>
      <c r="L49" s="7"/>
    </row>
    <row r="50" spans="1:12">
      <c r="A50" s="13"/>
      <c r="B50" s="9" t="s">
        <v>302</v>
      </c>
      <c r="C50" s="22" t="s">
        <v>303</v>
      </c>
      <c r="D50" s="6" t="s">
        <v>136</v>
      </c>
      <c r="E50" s="6" t="s">
        <v>80</v>
      </c>
      <c r="F50" s="6" t="s">
        <v>287</v>
      </c>
      <c r="G50" s="6"/>
      <c r="H50" s="6"/>
      <c r="I50" s="6"/>
      <c r="J50" s="32" t="s">
        <v>304</v>
      </c>
      <c r="K50" s="31" t="s">
        <v>305</v>
      </c>
      <c r="L50" s="7"/>
    </row>
    <row r="51" spans="1:12">
      <c r="A51" s="13"/>
      <c r="B51" s="9" t="s">
        <v>306</v>
      </c>
      <c r="C51" s="22" t="s">
        <v>307</v>
      </c>
      <c r="D51" s="6" t="s">
        <v>136</v>
      </c>
      <c r="E51" s="6" t="s">
        <v>80</v>
      </c>
      <c r="F51" s="7" t="s">
        <v>100</v>
      </c>
      <c r="G51" s="18" t="s">
        <v>231</v>
      </c>
      <c r="H51" s="6"/>
      <c r="I51" s="23"/>
      <c r="J51" s="32" t="s">
        <v>308</v>
      </c>
      <c r="K51" s="7"/>
      <c r="L51" s="7"/>
    </row>
    <row r="52" spans="1:12">
      <c r="A52" s="13"/>
      <c r="B52" s="9" t="s">
        <v>311</v>
      </c>
      <c r="C52" s="22" t="s">
        <v>312</v>
      </c>
      <c r="D52" s="6" t="s">
        <v>136</v>
      </c>
      <c r="E52" s="6" t="s">
        <v>80</v>
      </c>
      <c r="F52" s="7" t="s">
        <v>93</v>
      </c>
      <c r="G52" s="18" t="s">
        <v>237</v>
      </c>
      <c r="H52" s="6"/>
      <c r="I52" s="23"/>
      <c r="J52" s="32" t="s">
        <v>313</v>
      </c>
      <c r="K52" s="6"/>
      <c r="L52" s="6"/>
    </row>
    <row r="53" spans="1:12">
      <c r="A53" s="13"/>
      <c r="B53" s="9" t="s">
        <v>314</v>
      </c>
      <c r="C53" s="22" t="s">
        <v>315</v>
      </c>
      <c r="D53" s="6" t="s">
        <v>136</v>
      </c>
      <c r="E53" s="6" t="s">
        <v>80</v>
      </c>
      <c r="F53" s="7" t="s">
        <v>231</v>
      </c>
      <c r="G53" s="6"/>
      <c r="H53" s="6"/>
      <c r="I53" s="6"/>
      <c r="J53" s="23"/>
      <c r="K53" s="23"/>
      <c r="L53" s="23"/>
    </row>
    <row r="54" spans="1:12">
      <c r="A54" s="13"/>
      <c r="B54" s="9" t="s">
        <v>316</v>
      </c>
      <c r="C54" s="22" t="s">
        <v>317</v>
      </c>
      <c r="D54" s="6" t="s">
        <v>136</v>
      </c>
      <c r="E54" s="6" t="s">
        <v>80</v>
      </c>
      <c r="F54" s="7" t="s">
        <v>237</v>
      </c>
      <c r="G54" s="18" t="s">
        <v>243</v>
      </c>
      <c r="H54" s="6"/>
      <c r="I54" s="6"/>
      <c r="J54" s="23"/>
      <c r="K54" s="23"/>
      <c r="L54" s="23"/>
    </row>
    <row r="55" spans="1:12">
      <c r="A55" s="13"/>
      <c r="B55" s="9" t="s">
        <v>318</v>
      </c>
      <c r="C55" s="20"/>
      <c r="D55" s="24" t="s">
        <v>78</v>
      </c>
      <c r="E55" s="6" t="s">
        <v>80</v>
      </c>
      <c r="F55" s="10" t="s">
        <v>261</v>
      </c>
      <c r="G55" s="6"/>
      <c r="H55" s="6"/>
      <c r="I55" s="6"/>
      <c r="J55" s="6"/>
      <c r="K55" s="23"/>
      <c r="L55" s="23"/>
    </row>
    <row r="56" spans="1:12">
      <c r="A56" s="13"/>
      <c r="B56" s="9" t="s">
        <v>319</v>
      </c>
      <c r="C56" s="25"/>
      <c r="D56" s="6" t="s">
        <v>136</v>
      </c>
      <c r="E56" s="6" t="s">
        <v>80</v>
      </c>
      <c r="F56" s="10" t="s">
        <v>249</v>
      </c>
      <c r="G56" s="6"/>
      <c r="H56" s="6"/>
      <c r="I56" s="6"/>
      <c r="J56" s="6"/>
      <c r="K56" s="23"/>
      <c r="L56" s="23"/>
    </row>
    <row r="57" spans="1:12">
      <c r="A57" s="16"/>
      <c r="B57" s="9" t="s">
        <v>320</v>
      </c>
      <c r="C57" s="25"/>
      <c r="D57" s="6" t="s">
        <v>136</v>
      </c>
      <c r="E57" s="6" t="s">
        <v>80</v>
      </c>
      <c r="F57" s="10" t="s">
        <v>255</v>
      </c>
      <c r="G57" s="6"/>
      <c r="H57" s="6"/>
      <c r="I57" s="6"/>
      <c r="J57" s="6"/>
      <c r="K57" s="23"/>
      <c r="L57" s="23"/>
    </row>
    <row r="58" spans="1:12">
      <c r="A58" s="26" t="s">
        <v>321</v>
      </c>
      <c r="B58" s="4" t="s">
        <v>322</v>
      </c>
      <c r="C58" s="25"/>
      <c r="D58" s="6" t="s">
        <v>323</v>
      </c>
      <c r="E58" s="6" t="s">
        <v>80</v>
      </c>
      <c r="F58" s="6"/>
      <c r="G58" s="6" t="s">
        <v>325</v>
      </c>
      <c r="H58" s="25"/>
      <c r="I58" s="25"/>
      <c r="J58" s="25"/>
      <c r="K58" s="25"/>
      <c r="L58" s="25"/>
    </row>
    <row r="59" spans="1:12">
      <c r="A59" s="26"/>
      <c r="B59" s="4" t="s">
        <v>328</v>
      </c>
      <c r="C59" s="25"/>
      <c r="D59" s="6" t="s">
        <v>323</v>
      </c>
      <c r="E59" s="6" t="s">
        <v>80</v>
      </c>
      <c r="F59" s="6"/>
      <c r="G59" s="6" t="s">
        <v>330</v>
      </c>
      <c r="H59" s="25"/>
      <c r="I59" s="25"/>
      <c r="J59" s="25"/>
      <c r="K59" s="25"/>
      <c r="L59" s="25"/>
    </row>
    <row r="60" spans="1:12">
      <c r="A60" s="26"/>
      <c r="B60" s="4" t="s">
        <v>331</v>
      </c>
      <c r="C60" s="25"/>
      <c r="D60" s="6" t="s">
        <v>323</v>
      </c>
      <c r="E60" s="6" t="s">
        <v>80</v>
      </c>
      <c r="F60" s="6"/>
      <c r="G60" s="6" t="s">
        <v>333</v>
      </c>
      <c r="H60" s="25"/>
      <c r="I60" s="25"/>
      <c r="J60" s="25"/>
      <c r="K60" s="25"/>
      <c r="L60" s="25"/>
    </row>
    <row r="61" spans="1:12">
      <c r="A61" s="26"/>
      <c r="B61" s="4" t="s">
        <v>334</v>
      </c>
      <c r="C61" s="25"/>
      <c r="D61" s="6" t="s">
        <v>323</v>
      </c>
      <c r="E61" s="6" t="s">
        <v>80</v>
      </c>
      <c r="F61" s="6"/>
      <c r="G61" s="6" t="s">
        <v>336</v>
      </c>
      <c r="H61" s="25"/>
      <c r="I61" s="25"/>
      <c r="J61" s="25"/>
      <c r="K61" s="25"/>
      <c r="L61" s="25"/>
    </row>
    <row r="62" spans="1:12">
      <c r="A62" s="26"/>
      <c r="B62" s="4" t="s">
        <v>337</v>
      </c>
      <c r="C62" s="25"/>
      <c r="D62" s="6" t="s">
        <v>323</v>
      </c>
      <c r="E62" s="6" t="s">
        <v>80</v>
      </c>
      <c r="F62" s="6"/>
      <c r="G62" s="6" t="s">
        <v>339</v>
      </c>
      <c r="H62" s="25"/>
      <c r="I62" s="25"/>
      <c r="J62" s="25"/>
      <c r="K62" s="25"/>
      <c r="L62" s="25"/>
    </row>
    <row r="63" spans="1:12">
      <c r="A63" s="26" t="s">
        <v>340</v>
      </c>
      <c r="B63" s="4" t="s">
        <v>341</v>
      </c>
      <c r="C63" s="25"/>
      <c r="D63" s="6" t="s">
        <v>323</v>
      </c>
      <c r="E63" s="6" t="s">
        <v>80</v>
      </c>
      <c r="F63" s="7"/>
      <c r="G63" s="6" t="s">
        <v>90</v>
      </c>
      <c r="H63" s="6" t="s">
        <v>249</v>
      </c>
      <c r="I63" s="25"/>
      <c r="J63" s="25"/>
      <c r="K63" s="25"/>
      <c r="L63" s="25"/>
    </row>
    <row r="64" spans="1:12">
      <c r="A64" s="26"/>
      <c r="B64" s="4" t="s">
        <v>344</v>
      </c>
      <c r="C64" s="25"/>
      <c r="D64" s="6" t="s">
        <v>323</v>
      </c>
      <c r="E64" s="6" t="s">
        <v>80</v>
      </c>
      <c r="F64" s="7"/>
      <c r="G64" s="6" t="s">
        <v>97</v>
      </c>
      <c r="H64" s="6" t="s">
        <v>255</v>
      </c>
      <c r="I64" s="25"/>
      <c r="J64" s="25"/>
      <c r="K64" s="25"/>
      <c r="L64" s="25"/>
    </row>
  </sheetData>
  <mergeCells count="7">
    <mergeCell ref="A3:A16"/>
    <mergeCell ref="A17:A34"/>
    <mergeCell ref="A35:A57"/>
    <mergeCell ref="A58:A62"/>
    <mergeCell ref="A63:A64"/>
    <mergeCell ref="C1:C2"/>
    <mergeCell ref="D1:D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5"/>
  <sheetViews>
    <sheetView workbookViewId="0">
      <selection activeCell="Y20" sqref="Y20"/>
    </sheetView>
  </sheetViews>
  <sheetFormatPr defaultColWidth="9" defaultRowHeight="15"/>
  <sheetData>
    <row r="25" spans="1:1">
      <c r="A25" s="1" t="s">
        <v>691</v>
      </c>
    </row>
  </sheetData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A043302-5BDF-4382-BC5E-4F9749D90F16}">
  <ds:schemaRefs/>
</ds:datastoreItem>
</file>

<file path=customXml/itemProps2.xml><?xml version="1.0" encoding="utf-8"?>
<ds:datastoreItem xmlns:ds="http://schemas.openxmlformats.org/officeDocument/2006/customXml" ds:itemID="{ACF65088-E1E7-4A05-AB91-5507A98B1A7A}">
  <ds:schemaRefs/>
</ds:datastoreItem>
</file>

<file path=customXml/itemProps3.xml><?xml version="1.0" encoding="utf-8"?>
<ds:datastoreItem xmlns:ds="http://schemas.openxmlformats.org/officeDocument/2006/customXml" ds:itemID="{E0DBF188-CFFE-4550-86F3-08F497FCBF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Revision</vt:lpstr>
      <vt:lpstr>MS1 pinmux register</vt:lpstr>
      <vt:lpstr>MS1 Pinmux V06(from suoli)</vt:lpstr>
      <vt:lpstr>Peripherals IO</vt:lpstr>
      <vt:lpstr>To do</vt:lpstr>
      <vt:lpstr>Pinout-20250310</vt:lpstr>
      <vt:lpstr>ms1_pinmux_export</vt:lpstr>
      <vt:lpstr>Analog GPIO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Dongming Yan</dc:creator>
  <cp:lastModifiedBy>Chuyin.W</cp:lastModifiedBy>
  <cp:revision>1</cp:revision>
  <dcterms:created xsi:type="dcterms:W3CDTF">2016-03-23T06:03:00Z</dcterms:created>
  <dcterms:modified xsi:type="dcterms:W3CDTF">2025-09-12T08:46:22Z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eadingLayout">
    <vt:bool>false</vt:bool>
  </property>
  <property fmtid="{D5CDD505-2E9C-101B-9397-08002B2CF9AE}" pid="4" name="ICV">
    <vt:lpwstr>EF3CEAB68BBC42BCA67FEB7A04CB9B89</vt:lpwstr>
  </property>
  <property fmtid="{D5CDD505-2E9C-101B-9397-08002B2CF9AE}" pid="5" name="ContentTypeId">
    <vt:lpwstr>0x010100B634CA9E6BB59C46901355B8A2089AAC</vt:lpwstr>
  </property>
  <property fmtid="{D5CDD505-2E9C-101B-9397-08002B2CF9AE}" pid="6" name="MediaServiceImageTags">
    <vt:lpwstr/>
  </property>
</Properties>
</file>