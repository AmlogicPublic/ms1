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dc0\AC\Temp\"/>
    </mc:Choice>
  </mc:AlternateContent>
  <xr:revisionPtr revIDLastSave="2537" documentId="8_{0536073E-BA3E-432A-B36E-46D3AC3408AD}" xr6:coauthVersionLast="47" xr6:coauthVersionMax="47" xr10:uidLastSave="{3407709C-E988-4882-9A9D-9410BFD4B0F3}"/>
  <bookViews>
    <workbookView xWindow="-60" yWindow="-60" windowWidth="15480" windowHeight="11640" firstSheet="1" activeTab="3" xr2:uid="{00000000-000D-0000-FFFF-FFFF00000000}"/>
  </bookViews>
  <sheets>
    <sheet name="version" sheetId="1" r:id="rId1"/>
    <sheet name="top memory_map_v0.2" sheetId="5" r:id="rId2"/>
    <sheet name="video_in mem map" sheetId="6" r:id="rId3"/>
    <sheet name="video_out mem map" sheetId="8" r:id="rId4"/>
    <sheet name="disp_proc mem map" sheetId="7" r:id="rId5"/>
    <sheet name="ee_peri_top mem map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8" l="1"/>
  <c r="E172" i="5"/>
  <c r="E173" i="5"/>
  <c r="E174" i="5"/>
  <c r="F171" i="5"/>
  <c r="F172" i="5"/>
  <c r="F173" i="5"/>
  <c r="E170" i="5"/>
  <c r="E171" i="5"/>
  <c r="F4" i="5"/>
  <c r="E4" i="5" s="1"/>
  <c r="D166" i="5"/>
  <c r="D156" i="5"/>
  <c r="D154" i="5"/>
  <c r="D152" i="5"/>
  <c r="D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D52" i="5"/>
  <c r="D25" i="5"/>
  <c r="D9" i="5"/>
  <c r="F5" i="5"/>
  <c r="E3" i="5"/>
  <c r="F6" i="5" l="1"/>
  <c r="E5" i="5"/>
  <c r="F7" i="5" l="1"/>
  <c r="E6" i="5"/>
  <c r="F8" i="5" l="1"/>
  <c r="F9" i="5" s="1"/>
  <c r="F10" i="5" s="1"/>
  <c r="E7" i="5"/>
  <c r="E8" i="5" l="1"/>
  <c r="E9" i="5" l="1"/>
  <c r="F11" i="5" l="1"/>
  <c r="E10" i="5"/>
  <c r="F12" i="5" l="1"/>
  <c r="E11" i="5"/>
  <c r="E12" i="5" l="1"/>
  <c r="F13" i="5"/>
  <c r="E13" i="5" l="1"/>
  <c r="F14" i="5"/>
  <c r="E14" i="5" l="1"/>
  <c r="F15" i="5"/>
  <c r="F16" i="5" s="1"/>
  <c r="E16" i="5" l="1"/>
  <c r="F17" i="5"/>
  <c r="E15" i="5"/>
  <c r="E17" i="5" l="1"/>
  <c r="F18" i="5"/>
  <c r="E18" i="5" l="1"/>
  <c r="F2" i="3"/>
  <c r="F19" i="5"/>
  <c r="E19" i="5" l="1"/>
  <c r="F20" i="5"/>
  <c r="E2" i="3"/>
  <c r="F3" i="3"/>
  <c r="F4" i="3" l="1"/>
  <c r="E3" i="3"/>
  <c r="D4" i="8"/>
  <c r="E20" i="5"/>
  <c r="F21" i="5"/>
  <c r="E21" i="5" l="1"/>
  <c r="F22" i="5"/>
  <c r="F5" i="3"/>
  <c r="E4" i="3"/>
  <c r="F6" i="3" l="1"/>
  <c r="E5" i="3"/>
  <c r="F23" i="5"/>
  <c r="E22" i="5"/>
  <c r="E23" i="5" l="1"/>
  <c r="F24" i="5"/>
  <c r="F7" i="3"/>
  <c r="E6" i="3"/>
  <c r="F8" i="3" l="1"/>
  <c r="E7" i="3"/>
  <c r="E24" i="5"/>
  <c r="F25" i="5"/>
  <c r="E25" i="5" l="1"/>
  <c r="F26" i="5"/>
  <c r="F9" i="3"/>
  <c r="E8" i="3"/>
  <c r="F10" i="3" l="1"/>
  <c r="E9" i="3"/>
  <c r="E26" i="5"/>
  <c r="F27" i="5"/>
  <c r="E27" i="5" l="1"/>
  <c r="F28" i="5"/>
  <c r="F11" i="3"/>
  <c r="E10" i="3"/>
  <c r="F12" i="3" l="1"/>
  <c r="E11" i="3"/>
  <c r="E28" i="5"/>
  <c r="F29" i="5"/>
  <c r="E29" i="5" l="1"/>
  <c r="F30" i="5"/>
  <c r="F13" i="3"/>
  <c r="E12" i="3"/>
  <c r="F14" i="3" l="1"/>
  <c r="E13" i="3"/>
  <c r="E30" i="5"/>
  <c r="F31" i="5"/>
  <c r="E31" i="5" l="1"/>
  <c r="F32" i="5"/>
  <c r="F15" i="3"/>
  <c r="E14" i="3"/>
  <c r="F16" i="3" l="1"/>
  <c r="E15" i="3"/>
  <c r="E32" i="5"/>
  <c r="F33" i="5"/>
  <c r="E33" i="5" l="1"/>
  <c r="F34" i="5"/>
  <c r="F17" i="3"/>
  <c r="E16" i="3"/>
  <c r="F18" i="3" l="1"/>
  <c r="E17" i="3"/>
  <c r="E34" i="5"/>
  <c r="F35" i="5"/>
  <c r="F36" i="5" s="1"/>
  <c r="F37" i="5" l="1"/>
  <c r="E36" i="5"/>
  <c r="E35" i="5"/>
  <c r="F19" i="3"/>
  <c r="E18" i="3"/>
  <c r="F38" i="5" l="1"/>
  <c r="E37" i="5"/>
  <c r="F20" i="3"/>
  <c r="E19" i="3"/>
  <c r="F39" i="5" l="1"/>
  <c r="E38" i="5"/>
  <c r="F21" i="3"/>
  <c r="E20" i="3"/>
  <c r="F40" i="5" l="1"/>
  <c r="E39" i="5"/>
  <c r="F22" i="3"/>
  <c r="E21" i="3"/>
  <c r="F41" i="5" l="1"/>
  <c r="E40" i="5"/>
  <c r="F23" i="3"/>
  <c r="E22" i="3"/>
  <c r="F42" i="5" l="1"/>
  <c r="E41" i="5"/>
  <c r="F24" i="3"/>
  <c r="E23" i="3"/>
  <c r="F43" i="5" l="1"/>
  <c r="E42" i="5"/>
  <c r="F25" i="3"/>
  <c r="E24" i="3"/>
  <c r="F44" i="5" l="1"/>
  <c r="E43" i="5"/>
  <c r="F26" i="3"/>
  <c r="E25" i="3"/>
  <c r="E44" i="5" l="1"/>
  <c r="F45" i="5"/>
  <c r="F27" i="3"/>
  <c r="E26" i="3"/>
  <c r="F46" i="5" l="1"/>
  <c r="E45" i="5"/>
  <c r="F28" i="3"/>
  <c r="E27" i="3"/>
  <c r="F47" i="5" l="1"/>
  <c r="E46" i="5"/>
  <c r="F29" i="3"/>
  <c r="E28" i="3"/>
  <c r="F48" i="5" l="1"/>
  <c r="E47" i="5"/>
  <c r="F30" i="3"/>
  <c r="E29" i="3"/>
  <c r="F49" i="5" l="1"/>
  <c r="E48" i="5"/>
  <c r="F31" i="3"/>
  <c r="E30" i="3"/>
  <c r="F50" i="5" l="1"/>
  <c r="E49" i="5"/>
  <c r="F32" i="3"/>
  <c r="E31" i="3"/>
  <c r="E50" i="5" l="1"/>
  <c r="F51" i="5"/>
  <c r="E32" i="3"/>
  <c r="F33" i="3"/>
  <c r="E33" i="3" s="1"/>
  <c r="E51" i="5" l="1"/>
  <c r="F52" i="5"/>
  <c r="E52" i="5" l="1"/>
  <c r="F53" i="5"/>
  <c r="E53" i="5" l="1"/>
  <c r="F54" i="5"/>
  <c r="E54" i="5" l="1"/>
  <c r="F55" i="5"/>
  <c r="E55" i="5" l="1"/>
  <c r="F56" i="5"/>
  <c r="E56" i="5" l="1"/>
  <c r="F57" i="5"/>
  <c r="E57" i="5" l="1"/>
  <c r="F58" i="5"/>
  <c r="E58" i="5" l="1"/>
  <c r="F59" i="5"/>
  <c r="E59" i="5" l="1"/>
  <c r="F60" i="5"/>
  <c r="E60" i="5" l="1"/>
  <c r="F61" i="5"/>
  <c r="E61" i="5" l="1"/>
  <c r="F62" i="5"/>
  <c r="E62" i="5" l="1"/>
  <c r="F63" i="5"/>
  <c r="E63" i="5" l="1"/>
  <c r="F64" i="5"/>
  <c r="E64" i="5" l="1"/>
  <c r="F65" i="5"/>
  <c r="E65" i="5" l="1"/>
  <c r="F66" i="5"/>
  <c r="E66" i="5" l="1"/>
  <c r="F67" i="5"/>
  <c r="E67" i="5" l="1"/>
  <c r="F68" i="5"/>
  <c r="E68" i="5" l="1"/>
  <c r="F69" i="5"/>
  <c r="E69" i="5" l="1"/>
  <c r="F70" i="5"/>
  <c r="E70" i="5" l="1"/>
  <c r="F71" i="5"/>
  <c r="E71" i="5" l="1"/>
  <c r="F72" i="5"/>
  <c r="E72" i="5" l="1"/>
  <c r="F73" i="5"/>
  <c r="E73" i="5" l="1"/>
  <c r="F74" i="5"/>
  <c r="E74" i="5" l="1"/>
  <c r="F75" i="5"/>
  <c r="E75" i="5" l="1"/>
  <c r="F76" i="5"/>
  <c r="E76" i="5" l="1"/>
  <c r="F77" i="5"/>
  <c r="E77" i="5" l="1"/>
  <c r="F78" i="5"/>
  <c r="E78" i="5" l="1"/>
  <c r="F79" i="5"/>
  <c r="E79" i="5" l="1"/>
  <c r="F80" i="5"/>
  <c r="E80" i="5" l="1"/>
  <c r="F81" i="5"/>
  <c r="E81" i="5" l="1"/>
  <c r="F82" i="5"/>
  <c r="E82" i="5" l="1"/>
  <c r="F83" i="5"/>
  <c r="E83" i="5" l="1"/>
  <c r="F84" i="5"/>
  <c r="E84" i="5" l="1"/>
  <c r="F85" i="5"/>
  <c r="E85" i="5" l="1"/>
  <c r="F86" i="5"/>
  <c r="E86" i="5" l="1"/>
  <c r="F87" i="5"/>
  <c r="E87" i="5" l="1"/>
  <c r="F88" i="5"/>
  <c r="E88" i="5" l="1"/>
  <c r="F89" i="5"/>
  <c r="E89" i="5" l="1"/>
  <c r="F90" i="5"/>
  <c r="E90" i="5" l="1"/>
  <c r="F91" i="5"/>
  <c r="E91" i="5" l="1"/>
  <c r="F92" i="5"/>
  <c r="E92" i="5" l="1"/>
  <c r="F93" i="5"/>
  <c r="E93" i="5" l="1"/>
  <c r="F94" i="5"/>
  <c r="E94" i="5" l="1"/>
  <c r="F95" i="5"/>
  <c r="E95" i="5" l="1"/>
  <c r="F96" i="5"/>
  <c r="E96" i="5" l="1"/>
  <c r="F97" i="5"/>
  <c r="E97" i="5" l="1"/>
  <c r="F98" i="5"/>
  <c r="E98" i="5" l="1"/>
  <c r="F99" i="5"/>
  <c r="E99" i="5" l="1"/>
  <c r="F100" i="5"/>
  <c r="E100" i="5" l="1"/>
  <c r="F101" i="5"/>
  <c r="E101" i="5" l="1"/>
  <c r="F102" i="5"/>
  <c r="E102" i="5" l="1"/>
  <c r="F103" i="5"/>
  <c r="E103" i="5" l="1"/>
  <c r="F104" i="5"/>
  <c r="E104" i="5" l="1"/>
  <c r="F105" i="5"/>
  <c r="E105" i="5" l="1"/>
  <c r="F106" i="5"/>
  <c r="E106" i="5" l="1"/>
  <c r="F107" i="5"/>
  <c r="E107" i="5" l="1"/>
  <c r="F108" i="5"/>
  <c r="E108" i="5" l="1"/>
  <c r="F109" i="5"/>
  <c r="E109" i="5" l="1"/>
  <c r="F110" i="5"/>
  <c r="E110" i="5" l="1"/>
  <c r="F111" i="5"/>
  <c r="E111" i="5" l="1"/>
  <c r="F112" i="5"/>
  <c r="E112" i="5" l="1"/>
  <c r="F113" i="5"/>
  <c r="E113" i="5" l="1"/>
  <c r="F114" i="5"/>
  <c r="E114" i="5" l="1"/>
  <c r="F115" i="5"/>
  <c r="E115" i="5" l="1"/>
  <c r="F116" i="5"/>
  <c r="E116" i="5" l="1"/>
  <c r="F117" i="5"/>
  <c r="E117" i="5" l="1"/>
  <c r="F118" i="5"/>
  <c r="E118" i="5" l="1"/>
  <c r="F119" i="5"/>
  <c r="E119" i="5" l="1"/>
  <c r="F120" i="5"/>
  <c r="E120" i="5" l="1"/>
  <c r="F121" i="5"/>
  <c r="E121" i="5" l="1"/>
  <c r="F122" i="5"/>
  <c r="E122" i="5" l="1"/>
  <c r="F123" i="5"/>
  <c r="E123" i="5" l="1"/>
  <c r="F124" i="5"/>
  <c r="E124" i="5" l="1"/>
  <c r="F125" i="5"/>
  <c r="E125" i="5" l="1"/>
  <c r="F126" i="5"/>
  <c r="E126" i="5" l="1"/>
  <c r="F127" i="5"/>
  <c r="E127" i="5" l="1"/>
  <c r="F128" i="5"/>
  <c r="E128" i="5" l="1"/>
  <c r="F129" i="5"/>
  <c r="E129" i="5" l="1"/>
  <c r="F130" i="5"/>
  <c r="E130" i="5" l="1"/>
  <c r="F131" i="5"/>
  <c r="E131" i="5" l="1"/>
  <c r="F132" i="5"/>
  <c r="E132" i="5" l="1"/>
  <c r="F133" i="5"/>
  <c r="E133" i="5" l="1"/>
  <c r="F134" i="5"/>
  <c r="E134" i="5" l="1"/>
  <c r="F135" i="5"/>
  <c r="E135" i="5" l="1"/>
  <c r="F136" i="5"/>
  <c r="E136" i="5" l="1"/>
  <c r="F137" i="5"/>
  <c r="E137" i="5" l="1"/>
  <c r="F138" i="5"/>
  <c r="E138" i="5" l="1"/>
  <c r="F139" i="5"/>
  <c r="E139" i="5" l="1"/>
  <c r="F140" i="5"/>
  <c r="E140" i="5" l="1"/>
  <c r="F141" i="5"/>
  <c r="E141" i="5" l="1"/>
  <c r="F142" i="5"/>
  <c r="E142" i="5" l="1"/>
  <c r="F143" i="5"/>
  <c r="E143" i="5" l="1"/>
  <c r="F144" i="5"/>
  <c r="E144" i="5" l="1"/>
  <c r="F145" i="5"/>
  <c r="E145" i="5" l="1"/>
  <c r="F146" i="5"/>
  <c r="E146" i="5" l="1"/>
  <c r="F147" i="5"/>
  <c r="E147" i="5" l="1"/>
  <c r="F148" i="5"/>
  <c r="E148" i="5" l="1"/>
  <c r="F149" i="5"/>
  <c r="E149" i="5" l="1"/>
  <c r="F150" i="5"/>
  <c r="E150" i="5" l="1"/>
  <c r="F151" i="5"/>
  <c r="E151" i="5" l="1"/>
  <c r="F152" i="5"/>
  <c r="E152" i="5" l="1"/>
  <c r="F153" i="5"/>
  <c r="E153" i="5" l="1"/>
  <c r="F154" i="5"/>
  <c r="E154" i="5" l="1"/>
  <c r="F155" i="5"/>
  <c r="E155" i="5" l="1"/>
  <c r="F156" i="5"/>
  <c r="E156" i="5" l="1"/>
  <c r="F157" i="5"/>
  <c r="E157" i="5" l="1"/>
  <c r="F158" i="5"/>
  <c r="E158" i="5" l="1"/>
  <c r="F159" i="5"/>
  <c r="E159" i="5" l="1"/>
  <c r="F160" i="5"/>
  <c r="E160" i="5" l="1"/>
  <c r="F161" i="5"/>
  <c r="E161" i="5" l="1"/>
  <c r="F162" i="5"/>
  <c r="E162" i="5" l="1"/>
  <c r="F163" i="5"/>
  <c r="E163" i="5" l="1"/>
  <c r="F164" i="5"/>
  <c r="E164" i="5" l="1"/>
  <c r="F165" i="5"/>
  <c r="E165" i="5" l="1"/>
  <c r="F166" i="5"/>
  <c r="E166" i="5" l="1"/>
  <c r="F167" i="5"/>
  <c r="E167" i="5" l="1"/>
  <c r="F168" i="5"/>
  <c r="F169" i="5" s="1"/>
  <c r="E169" i="5" l="1"/>
  <c r="F170" i="5"/>
  <c r="E168" i="5"/>
  <c r="F174" i="5" l="1"/>
  <c r="F175" i="5" l="1"/>
  <c r="E175" i="5" s="1"/>
</calcChain>
</file>

<file path=xl/sharedStrings.xml><?xml version="1.0" encoding="utf-8"?>
<sst xmlns="http://schemas.openxmlformats.org/spreadsheetml/2006/main" count="971" uniqueCount="342">
  <si>
    <t>Version</t>
  </si>
  <si>
    <t>Date</t>
  </si>
  <si>
    <t>Owner</t>
  </si>
  <si>
    <t>Note</t>
  </si>
  <si>
    <t>v0.1</t>
  </si>
  <si>
    <t>liang.zhao</t>
  </si>
  <si>
    <t>Copy from T6D</t>
  </si>
  <si>
    <t>v0.2</t>
  </si>
  <si>
    <t>update according peripher resource</t>
  </si>
  <si>
    <t>v0.3</t>
  </si>
  <si>
    <t>video_out update to hs apb</t>
  </si>
  <si>
    <r>
      <rPr>
        <sz val="11"/>
        <color rgb="FF000000"/>
        <rFont val="Calibri"/>
        <charset val="134"/>
      </rPr>
      <t>module</t>
    </r>
  </si>
  <si>
    <t>size(KB)</t>
  </si>
  <si>
    <t>start</t>
  </si>
  <si>
    <t>end</t>
  </si>
  <si>
    <r>
      <rPr>
        <sz val="11"/>
        <color rgb="FF000000"/>
        <rFont val="Calibri"/>
        <charset val="134"/>
      </rPr>
      <t>size</t>
    </r>
  </si>
  <si>
    <t>module</t>
  </si>
  <si>
    <t>size</t>
  </si>
  <si>
    <t>capu idx(dec)</t>
  </si>
  <si>
    <t>capu idx(hex)</t>
  </si>
  <si>
    <t>PowerDomain</t>
  </si>
  <si>
    <t>HS(400M) or LS(166M)</t>
  </si>
  <si>
    <t>RSV</t>
  </si>
  <si>
    <t>rsvd</t>
  </si>
  <si>
    <t>ROM_MMU</t>
  </si>
  <si>
    <t>FFFFFFFF</t>
  </si>
  <si>
    <t>32KB</t>
  </si>
  <si>
    <t>reserved</t>
  </si>
  <si>
    <t>ROM_DFU</t>
  </si>
  <si>
    <t>24KB</t>
  </si>
  <si>
    <t>ROM_MAIN</t>
  </si>
  <si>
    <t>104KB</t>
  </si>
  <si>
    <t>832KB</t>
  </si>
  <si>
    <t>1MB</t>
  </si>
  <si>
    <t>256KB</t>
  </si>
  <si>
    <t>64KB</t>
  </si>
  <si>
    <t>14MB</t>
  </si>
  <si>
    <t>2MB</t>
  </si>
  <si>
    <t>256K</t>
  </si>
  <si>
    <t>apb4</t>
  </si>
  <si>
    <t>ee_peri_top</t>
  </si>
  <si>
    <t>NA</t>
  </si>
  <si>
    <t>EE</t>
  </si>
  <si>
    <t>see ee_peri_top mem map</t>
  </si>
  <si>
    <t>LS</t>
  </si>
  <si>
    <t>video_out</t>
  </si>
  <si>
    <t>video_in</t>
  </si>
  <si>
    <t>see video_in mem map</t>
  </si>
  <si>
    <t>hs_apb4</t>
  </si>
  <si>
    <t>disp_proc(vpu)</t>
  </si>
  <si>
    <r>
      <rPr>
        <sz val="11"/>
        <color rgb="FF000000"/>
        <rFont val="Calibri"/>
        <scheme val="minor"/>
      </rPr>
      <t xml:space="preserve">ahb clk domain, </t>
    </r>
    <r>
      <rPr>
        <sz val="11"/>
        <color rgb="FFFF0000"/>
        <rFont val="Calibri"/>
        <scheme val="minor"/>
      </rPr>
      <t>see display mem map</t>
    </r>
  </si>
  <si>
    <t>HS</t>
  </si>
  <si>
    <r>
      <rPr>
        <sz val="11"/>
        <color rgb="FF000000"/>
        <rFont val="Calibri"/>
        <scheme val="minor"/>
      </rPr>
      <t xml:space="preserve">ahb clk domain, </t>
    </r>
    <r>
      <rPr>
        <sz val="11"/>
        <color rgb="FFFF0000"/>
        <rFont val="Calibri"/>
        <scheme val="minor"/>
      </rPr>
      <t>see video_out map</t>
    </r>
  </si>
  <si>
    <t>64K</t>
  </si>
  <si>
    <t>usb2</t>
  </si>
  <si>
    <t>8K</t>
  </si>
  <si>
    <t>ee_sys_ctrl</t>
  </si>
  <si>
    <t>vga_top</t>
  </si>
  <si>
    <t>edp_lvds_phy_dig_top</t>
  </si>
  <si>
    <t>share_ram(axi_sram)</t>
  </si>
  <si>
    <t>msr_clk</t>
  </si>
  <si>
    <t>acodec</t>
  </si>
  <si>
    <t>ee_ana_ctrl</t>
  </si>
  <si>
    <t>ee_pad_ctrl</t>
  </si>
  <si>
    <t>ee_clk_ctrl</t>
  </si>
  <si>
    <r>
      <rPr>
        <sz val="11"/>
        <color rgb="FF000000"/>
        <rFont val="Calibri"/>
        <charset val="134"/>
      </rPr>
      <t>3MB-8k(5f+1)</t>
    </r>
  </si>
  <si>
    <t>AO</t>
  </si>
  <si>
    <t>1MB-8k-95</t>
  </si>
  <si>
    <t>5F</t>
  </si>
  <si>
    <t>1MB-8k-94</t>
  </si>
  <si>
    <t>5E</t>
  </si>
  <si>
    <t>1MB-8k-93</t>
  </si>
  <si>
    <t>5D</t>
  </si>
  <si>
    <t>1MB-8k-92</t>
  </si>
  <si>
    <t>5C</t>
  </si>
  <si>
    <t>1MB-8k-91</t>
  </si>
  <si>
    <t>5B</t>
  </si>
  <si>
    <t>1MB-8k-90</t>
  </si>
  <si>
    <t>5A</t>
  </si>
  <si>
    <t>1MB-8k-89</t>
  </si>
  <si>
    <t>spi_apb4</t>
  </si>
  <si>
    <t>spifc(xip)</t>
  </si>
  <si>
    <t>1MB-8k-88</t>
  </si>
  <si>
    <t>ahb clk domain</t>
  </si>
  <si>
    <t>1MB-8k-87</t>
  </si>
  <si>
    <t>1MB-8k-86</t>
  </si>
  <si>
    <t>1MB-8k-85</t>
  </si>
  <si>
    <t>1MB-8k-84</t>
  </si>
  <si>
    <t>1MB-8k-83</t>
  </si>
  <si>
    <t>1MB-8k-82</t>
  </si>
  <si>
    <t>1MB-8k-81</t>
  </si>
  <si>
    <t>1MB-8k-80</t>
  </si>
  <si>
    <t>1MB-8k-79</t>
  </si>
  <si>
    <t>ao_apb4</t>
  </si>
  <si>
    <t>aocpu</t>
  </si>
  <si>
    <t>1MB-8k-78</t>
  </si>
  <si>
    <t>1MB-8k-77</t>
  </si>
  <si>
    <t>1MB-8k-76</t>
  </si>
  <si>
    <t>1MB-8k-75</t>
  </si>
  <si>
    <t>1MB-8k-74</t>
  </si>
  <si>
    <t>1MB-8k-73</t>
  </si>
  <si>
    <t>1MB-8k-72</t>
  </si>
  <si>
    <t>1MB-8k-71</t>
  </si>
  <si>
    <t>1MB-8k-70</t>
  </si>
  <si>
    <t>1MB-8k-69</t>
  </si>
  <si>
    <t>1MB-8k-68</t>
  </si>
  <si>
    <t>1MB-8k-67</t>
  </si>
  <si>
    <t>1MB-8k-66</t>
  </si>
  <si>
    <t>1MB-8k-65</t>
  </si>
  <si>
    <t>1MB-8k-64</t>
  </si>
  <si>
    <t>1MB-8k-63</t>
  </si>
  <si>
    <t>1MB-8k-62</t>
  </si>
  <si>
    <t>1MB-8k-61</t>
  </si>
  <si>
    <t>1MB-8k-60</t>
  </si>
  <si>
    <t>1MB-8k-59</t>
  </si>
  <si>
    <t>1MB-8k-58</t>
  </si>
  <si>
    <t>1MB-8k-57</t>
  </si>
  <si>
    <t>1MB-8k-56</t>
  </si>
  <si>
    <t>1MB-8k-55</t>
  </si>
  <si>
    <t>1MB-8k-54</t>
  </si>
  <si>
    <t>1MB-8k-53</t>
  </si>
  <si>
    <t>1MB-8k-52</t>
  </si>
  <si>
    <t>1MB-8k-51</t>
  </si>
  <si>
    <t>1MB-8k-50</t>
  </si>
  <si>
    <t>1MB-8k-49</t>
  </si>
  <si>
    <t>1MB-8k-48</t>
  </si>
  <si>
    <t>1MB-8k-47</t>
  </si>
  <si>
    <t>1MB-8k-46</t>
  </si>
  <si>
    <t>1MB-8k-45</t>
  </si>
  <si>
    <t>1MB-8k-44</t>
  </si>
  <si>
    <t>1MB-8k-43</t>
  </si>
  <si>
    <t>1MB-8k-42</t>
  </si>
  <si>
    <t>1MB-8k-41</t>
  </si>
  <si>
    <t>1MB-8k-40</t>
  </si>
  <si>
    <t>1MB-8k-39</t>
  </si>
  <si>
    <t>1MB-8k-38</t>
  </si>
  <si>
    <t>1MB-8k-37</t>
  </si>
  <si>
    <t>1MB-8k-36</t>
  </si>
  <si>
    <t>1MB-8k-35</t>
  </si>
  <si>
    <t>1MB-8k-34</t>
  </si>
  <si>
    <t>1MB-8k-33</t>
  </si>
  <si>
    <t>efuse_top</t>
  </si>
  <si>
    <t>1MB-8k-32</t>
  </si>
  <si>
    <t>1MB-8k-31</t>
  </si>
  <si>
    <t>1MB-8k-30</t>
  </si>
  <si>
    <t>1MB-8k-29</t>
  </si>
  <si>
    <t>1MB-8k-28</t>
  </si>
  <si>
    <t>1MB-8k-27</t>
  </si>
  <si>
    <t>1MB-8k-26</t>
  </si>
  <si>
    <t>1MB-8k-25</t>
  </si>
  <si>
    <t>1MB-8k-24</t>
  </si>
  <si>
    <t>1MB-8k-23</t>
  </si>
  <si>
    <t>1MB-8k-22</t>
  </si>
  <si>
    <t>1MB-8k-21</t>
  </si>
  <si>
    <t>1MB-8k-20</t>
  </si>
  <si>
    <t>i2c_AO(for mccs)</t>
  </si>
  <si>
    <t>1MB-8k-19</t>
  </si>
  <si>
    <t>Size</t>
  </si>
  <si>
    <t>Start</t>
  </si>
  <si>
    <t>End</t>
  </si>
  <si>
    <t>cecb</t>
  </si>
  <si>
    <t>1MB-8k-18</t>
  </si>
  <si>
    <t>pwm_d</t>
  </si>
  <si>
    <t>512B</t>
  </si>
  <si>
    <t>FE01_E600</t>
  </si>
  <si>
    <t>FE01_E7FF</t>
  </si>
  <si>
    <t>IR_TOP(RX)</t>
  </si>
  <si>
    <t>1MB-8k-17</t>
  </si>
  <si>
    <t>pwm_c</t>
  </si>
  <si>
    <t>FE01_E400</t>
  </si>
  <si>
    <t>FE01_E5FF</t>
  </si>
  <si>
    <t>ao_uart(a)</t>
  </si>
  <si>
    <t>1MB-8k-16</t>
  </si>
  <si>
    <t>pwm_b</t>
  </si>
  <si>
    <t>FE01_E200</t>
  </si>
  <si>
    <t>FE01_E3FF</t>
  </si>
  <si>
    <t>ao_pwm(a/b/c/d)</t>
  </si>
  <si>
    <t>1MB-8k-15</t>
  </si>
  <si>
    <t>pwm_a</t>
  </si>
  <si>
    <t>FE01_E000</t>
  </si>
  <si>
    <t>FE01_E1FF</t>
  </si>
  <si>
    <t>temp_sensor_top</t>
  </si>
  <si>
    <t>1MB-8k-14</t>
  </si>
  <si>
    <t>1MB-8k-13</t>
  </si>
  <si>
    <t>1MB-8k-12</t>
  </si>
  <si>
    <t>dbg_apb4</t>
  </si>
  <si>
    <t>debug_i2c</t>
  </si>
  <si>
    <t>1MB-8k-11</t>
  </si>
  <si>
    <t>video_in_ao</t>
  </si>
  <si>
    <t>1MB-8k-10</t>
  </si>
  <si>
    <t>1MB-8k-9</t>
  </si>
  <si>
    <t>ao_sys_ctrl</t>
  </si>
  <si>
    <t>1MB-8k-8</t>
  </si>
  <si>
    <t>1MB-8k-7</t>
  </si>
  <si>
    <t>pwr_ctrl</t>
  </si>
  <si>
    <t>1MB-8k-6</t>
  </si>
  <si>
    <t>irq_ctrl</t>
  </si>
  <si>
    <t>1MB-8k-5</t>
  </si>
  <si>
    <t>ao_analog_ctrl</t>
  </si>
  <si>
    <t>1MB-8k-4</t>
  </si>
  <si>
    <t>oc_ram_ctrl</t>
  </si>
  <si>
    <t>1MB-8k-3</t>
  </si>
  <si>
    <t>ao_pad_ctrl</t>
  </si>
  <si>
    <t>1MB-8k-2</t>
  </si>
  <si>
    <t>ao_reset_ctrl</t>
  </si>
  <si>
    <t>1MB-8k-1</t>
  </si>
  <si>
    <t>ao_clk_ctrl</t>
  </si>
  <si>
    <t>1MB-8k-0</t>
  </si>
  <si>
    <t>6MB</t>
  </si>
  <si>
    <t>16MB</t>
  </si>
  <si>
    <t>N205 Internal</t>
  </si>
  <si>
    <t>32MB</t>
  </si>
  <si>
    <t>See N205 Internal below</t>
  </si>
  <si>
    <t>12MB</t>
  </si>
  <si>
    <t>DATA</t>
  </si>
  <si>
    <t>inner</t>
  </si>
  <si>
    <t>NIC_EE_GPV</t>
  </si>
  <si>
    <t>48KB</t>
  </si>
  <si>
    <t>ahb</t>
  </si>
  <si>
    <t>oc_ram</t>
  </si>
  <si>
    <t>16KB</t>
  </si>
  <si>
    <r>
      <rPr>
        <sz val="11"/>
        <color rgb="FF000000"/>
        <rFont val="Calibri"/>
        <charset val="134"/>
      </rPr>
      <t>32MB</t>
    </r>
  </si>
  <si>
    <t>DW_USB2</t>
  </si>
  <si>
    <t>DW USB2 Controller</t>
  </si>
  <si>
    <t>13MB</t>
  </si>
  <si>
    <t>axi</t>
  </si>
  <si>
    <t>share_ram</t>
  </si>
  <si>
    <t>SPI XIP</t>
  </si>
  <si>
    <t>Nor Flash</t>
  </si>
  <si>
    <t>64MB</t>
  </si>
  <si>
    <t>real use 512KB/1MB/2MB</t>
  </si>
  <si>
    <t>256MB</t>
  </si>
  <si>
    <t>E0000000</t>
  </si>
  <si>
    <t>EFFFFFFF</t>
  </si>
  <si>
    <t>3GB</t>
  </si>
  <si>
    <t>00000000</t>
  </si>
  <si>
    <t>DFFFFFFF</t>
  </si>
  <si>
    <t>3.5GB</t>
  </si>
  <si>
    <t>TV N205
Internal</t>
  </si>
  <si>
    <t>I/D ECM</t>
  </si>
  <si>
    <t>1FFFFFFF</t>
  </si>
  <si>
    <t>ECLIC</t>
  </si>
  <si>
    <t>8KB</t>
  </si>
  <si>
    <t>0C000000</t>
  </si>
  <si>
    <t>0C001FFF</t>
  </si>
  <si>
    <t>Timer</t>
  </si>
  <si>
    <t>256B</t>
  </si>
  <si>
    <t>02000000</t>
  </si>
  <si>
    <t>020000FF</t>
  </si>
  <si>
    <t>debug</t>
  </si>
  <si>
    <t>4KB</t>
  </si>
  <si>
    <t>00000FFF</t>
  </si>
  <si>
    <t>N205
Internal</t>
  </si>
  <si>
    <t>IINFO</t>
  </si>
  <si>
    <t>F8000000</t>
  </si>
  <si>
    <t>F800FFFF</t>
  </si>
  <si>
    <t>Some internal information is defined here</t>
  </si>
  <si>
    <t>DEBUG</t>
  </si>
  <si>
    <t>F8010000</t>
  </si>
  <si>
    <t>F801FFFF</t>
  </si>
  <si>
    <t>F8020000</t>
  </si>
  <si>
    <t>F802FFFF</t>
  </si>
  <si>
    <t>TIMER</t>
  </si>
  <si>
    <t>F8030000</t>
  </si>
  <si>
    <t>F803FFFF</t>
  </si>
  <si>
    <t>ILM/DLM</t>
  </si>
  <si>
    <t>F9000000</t>
  </si>
  <si>
    <t>F900FFFF</t>
  </si>
  <si>
    <t>LVDS</t>
  </si>
  <si>
    <t>[15:14]=0</t>
  </si>
  <si>
    <t>eDP0</t>
  </si>
  <si>
    <t>[15:14]=1</t>
  </si>
  <si>
    <t>eDP1</t>
  </si>
  <si>
    <t>[15:14]=2</t>
  </si>
  <si>
    <t>disp_proc</t>
  </si>
  <si>
    <t>FE400000</t>
  </si>
  <si>
    <t>FE43FFFF</t>
  </si>
  <si>
    <t>VIU_STAT</t>
  </si>
  <si>
    <t>[15:8]=10</t>
  </si>
  <si>
    <t>FE404000</t>
  </si>
  <si>
    <t>FE4043FC</t>
  </si>
  <si>
    <t>VPU_TOP_PPS</t>
  </si>
  <si>
    <t>[15:8]=1a</t>
  </si>
  <si>
    <t>FE406800</t>
  </si>
  <si>
    <t>FE406BFC</t>
  </si>
  <si>
    <t>VPU_HDR2</t>
  </si>
  <si>
    <t>[15:8]=1b</t>
  </si>
  <si>
    <t>FE406C00</t>
  </si>
  <si>
    <t>FE406FFC</t>
  </si>
  <si>
    <t>VPU_PROC_MISC</t>
  </si>
  <si>
    <t>[15:8]=20</t>
  </si>
  <si>
    <t>FE408000</t>
  </si>
  <si>
    <t>FE4083FC</t>
  </si>
  <si>
    <t>VPU_SHARP</t>
  </si>
  <si>
    <t>[15:8]=2a</t>
  </si>
  <si>
    <t>FE40A800</t>
  </si>
  <si>
    <t>FE40ABFC</t>
  </si>
  <si>
    <t>VPU_CONTRAST</t>
  </si>
  <si>
    <t>[15:8]=2b</t>
  </si>
  <si>
    <t>FE40AC00</t>
  </si>
  <si>
    <t>FE40AFFC</t>
  </si>
  <si>
    <t>VPU_GAMUT</t>
  </si>
  <si>
    <t>[15:8]=30</t>
  </si>
  <si>
    <t>FE40C000</t>
  </si>
  <si>
    <t>FE40C3FC</t>
  </si>
  <si>
    <t>VPU_DISP</t>
  </si>
  <si>
    <t>[15:8]=38</t>
  </si>
  <si>
    <t>FE40E000</t>
  </si>
  <si>
    <t>FE40E3FC</t>
  </si>
  <si>
    <t>VPU_LDC0</t>
  </si>
  <si>
    <t>[15:8]=40</t>
  </si>
  <si>
    <t>FE410000</t>
  </si>
  <si>
    <t>FE4103FC</t>
  </si>
  <si>
    <t>VPU_LDC1</t>
  </si>
  <si>
    <t>[15:8]=41</t>
  </si>
  <si>
    <t>FE410400</t>
  </si>
  <si>
    <t>FE4107FC</t>
  </si>
  <si>
    <t>Peri module</t>
  </si>
  <si>
    <t>i2c_B</t>
  </si>
  <si>
    <t>1KB</t>
  </si>
  <si>
    <t>FE59_A400</t>
  </si>
  <si>
    <t>FE59_A7FF</t>
  </si>
  <si>
    <t>i2c</t>
  </si>
  <si>
    <t>i2c_A</t>
  </si>
  <si>
    <t>FE59_A000</t>
  </si>
  <si>
    <t>FE59_A3FF</t>
  </si>
  <si>
    <t>pwm_h</t>
  </si>
  <si>
    <t>FE58_C600</t>
  </si>
  <si>
    <t>FE58_C7FF</t>
  </si>
  <si>
    <t>pwm_g</t>
  </si>
  <si>
    <t>FE58_C400</t>
  </si>
  <si>
    <t>FE58_C5FF</t>
  </si>
  <si>
    <t>uart_b</t>
  </si>
  <si>
    <t>pwm_f</t>
  </si>
  <si>
    <t>FE58_C200</t>
  </si>
  <si>
    <t>FE58_C3FF</t>
  </si>
  <si>
    <t>pwm</t>
  </si>
  <si>
    <t>pwm_e</t>
  </si>
  <si>
    <t>FE58_C000</t>
  </si>
  <si>
    <t>FE58_C1FF</t>
  </si>
  <si>
    <t>spisg(for LD)</t>
  </si>
  <si>
    <t>sar_adc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</si>
</sst>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0"/>
      <color theme="1"/>
      <name val="等线"/>
      <family val="2"/>
      <charset val="134"/>
      <scheme val="minor"/>
    </font>
    <font>
      <sz val="11"/>
      <color theme="1"/>
      <name val="Calibri"/>
      <scheme val="minor"/>
    </font>
    <font>
      <sz val="11"/>
      <name val="Calibri"/>
    </font>
    <font>
      <sz val="10"/>
      <color rgb="FF000000"/>
      <name val="等线"/>
    </font>
    <font>
      <sz val="9"/>
      <name val="等线"/>
      <family val="2"/>
      <charset val="134"/>
      <scheme val="minor"/>
    </font>
    <font>
      <b/>
      <sz val="10"/>
      <color rgb="FF000000"/>
      <name val="Calibri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1"/>
      <name val="Calibri"/>
      <charset val="134"/>
    </font>
    <font>
      <sz val="11"/>
      <color rgb="FF000000"/>
      <name val="Calibri"/>
      <charset val="134"/>
    </font>
    <font>
      <strike/>
      <sz val="11"/>
      <name val="Calibri"/>
      <charset val="134"/>
    </font>
    <font>
      <strike/>
      <sz val="11"/>
      <color rgb="FF000000"/>
      <name val="Calibri"/>
      <charset val="134"/>
    </font>
    <font>
      <sz val="10"/>
      <name val="微软雅黑"/>
      <charset val="134"/>
    </font>
    <font>
      <b/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1"/>
      <name val="Calibri"/>
      <scheme val="minor"/>
    </font>
    <font>
      <strike/>
      <sz val="11"/>
      <name val="Calibri"/>
      <scheme val="minor"/>
    </font>
    <font>
      <sz val="11"/>
      <color rgb="FFFF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theme="1"/>
      <name val="等线"/>
      <family val="2"/>
      <charset val="134"/>
      <scheme val="minor"/>
    </font>
    <font>
      <sz val="11"/>
      <name val="Calibri"/>
      <family val="2"/>
      <scheme val="minor"/>
    </font>
    <font>
      <sz val="10"/>
      <color rgb="FF000000"/>
      <name val="等线"/>
      <family val="2"/>
      <charset val="134"/>
      <scheme val="minor"/>
    </font>
    <font>
      <sz val="11"/>
      <color rgb="FFFF0000"/>
      <name val="Calibri"/>
    </font>
    <font>
      <sz val="11"/>
      <color theme="1"/>
      <name val="Calibri"/>
      <charset val="134"/>
    </font>
    <font>
      <b/>
      <sz val="11"/>
      <color rgb="FFFF0000"/>
      <name val="Calibri"/>
      <scheme val="minor"/>
    </font>
    <font>
      <sz val="11"/>
      <color theme="1"/>
      <name val="Calibri"/>
    </font>
    <font>
      <strike/>
      <sz val="11"/>
      <name val="Calibri"/>
    </font>
    <font>
      <b/>
      <sz val="11"/>
      <color theme="1"/>
      <name val="Calibri"/>
      <scheme val="minor"/>
    </font>
    <font>
      <strike/>
      <sz val="11"/>
      <color rgb="FFFF0000"/>
      <name val="Calibri"/>
      <scheme val="minor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indexed="64"/>
      </patternFill>
    </fill>
    <fill>
      <patternFill patternType="solid">
        <fgColor rgb="FFDFF8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theme="5" tint="-0.249977111117893"/>
      </top>
      <bottom style="thin">
        <color rgb="FF000000"/>
      </bottom>
      <diagonal/>
    </border>
    <border>
      <left style="thin">
        <color rgb="FF000000"/>
      </left>
      <right/>
      <top style="medium">
        <color theme="5" tint="-0.249977111117893"/>
      </top>
      <bottom style="thin">
        <color rgb="FF000000"/>
      </bottom>
      <diagonal/>
    </border>
    <border>
      <left style="medium">
        <color theme="5" tint="-0.24997711111789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theme="5" tint="-0.249977111117893"/>
      </right>
      <top style="thin">
        <color rgb="FF000000"/>
      </top>
      <bottom style="thin">
        <color rgb="FF000000"/>
      </bottom>
      <diagonal/>
    </border>
    <border>
      <left style="medium">
        <color theme="5" tint="-0.249977111117893"/>
      </left>
      <right style="thin">
        <color rgb="FF000000"/>
      </right>
      <top style="thin">
        <color rgb="FF000000"/>
      </top>
      <bottom style="medium">
        <color theme="5" tint="-0.24997711111789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5" tint="-0.249977111117893"/>
      </bottom>
      <diagonal/>
    </border>
    <border>
      <left style="thin">
        <color rgb="FF000000"/>
      </left>
      <right/>
      <top style="thin">
        <color rgb="FF000000"/>
      </top>
      <bottom style="medium">
        <color theme="5" tint="-0.249977111117893"/>
      </bottom>
      <diagonal/>
    </border>
    <border>
      <left style="thin">
        <color rgb="FF000000"/>
      </left>
      <right style="medium">
        <color theme="5" tint="-0.249977111117893"/>
      </right>
      <top style="thin">
        <color rgb="FF000000"/>
      </top>
      <bottom style="medium">
        <color theme="5" tint="-0.249977111117893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theme="5" tint="-0.249977111117893"/>
      </right>
      <top style="thin">
        <color rgb="FF000000"/>
      </top>
      <bottom/>
      <diagonal/>
    </border>
    <border>
      <left style="thin">
        <color rgb="FF000000"/>
      </left>
      <right style="medium">
        <color theme="5" tint="-0.249977111117893"/>
      </right>
      <top/>
      <bottom/>
      <diagonal/>
    </border>
    <border>
      <left style="thin">
        <color rgb="FF000000"/>
      </left>
      <right style="medium">
        <color theme="5" tint="-0.249977111117893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theme="5" tint="-0.249977111117893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19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/>
    <xf numFmtId="14" fontId="0" fillId="0" borderId="0" xfId="0" applyNumberFormat="1" applyAlignment="1"/>
    <xf numFmtId="0" fontId="3" fillId="0" borderId="0" xfId="0" applyFont="1" applyAlignment="1">
      <alignment vertical="center" wrapText="1"/>
    </xf>
    <xf numFmtId="0" fontId="0" fillId="0" borderId="2" xfId="0" applyBorder="1">
      <alignment vertical="center"/>
    </xf>
    <xf numFmtId="0" fontId="3" fillId="0" borderId="2" xfId="0" applyFont="1" applyBorder="1" applyAlignment="1"/>
    <xf numFmtId="14" fontId="0" fillId="0" borderId="2" xfId="0" applyNumberFormat="1" applyBorder="1" applyAlignment="1"/>
    <xf numFmtId="0" fontId="2" fillId="0" borderId="2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/>
    <xf numFmtId="14" fontId="7" fillId="0" borderId="1" xfId="0" applyNumberFormat="1" applyFont="1" applyBorder="1" applyAlignment="1"/>
    <xf numFmtId="0" fontId="7" fillId="0" borderId="1" xfId="0" applyFont="1" applyBorder="1">
      <alignment vertic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14" fontId="7" fillId="0" borderId="1" xfId="0" applyNumberFormat="1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0" fillId="9" borderId="0" xfId="0" applyFill="1">
      <alignment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7" fillId="2" borderId="2" xfId="0" applyFont="1" applyFill="1" applyBorder="1">
      <alignment vertical="center"/>
    </xf>
    <xf numFmtId="0" fontId="16" fillId="2" borderId="2" xfId="0" applyFont="1" applyFill="1" applyBorder="1">
      <alignment vertical="center"/>
    </xf>
    <xf numFmtId="0" fontId="17" fillId="2" borderId="2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0" fontId="22" fillId="10" borderId="1" xfId="0" applyFont="1" applyFill="1" applyBorder="1">
      <alignment vertical="center"/>
    </xf>
    <xf numFmtId="0" fontId="23" fillId="9" borderId="0" xfId="0" applyFont="1" applyFill="1">
      <alignment vertical="center"/>
    </xf>
    <xf numFmtId="0" fontId="22" fillId="8" borderId="1" xfId="0" applyFont="1" applyFill="1" applyBorder="1">
      <alignment vertical="center"/>
    </xf>
    <xf numFmtId="0" fontId="8" fillId="9" borderId="1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8" fillId="14" borderId="4" xfId="0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14" borderId="12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3" fillId="11" borderId="5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8" borderId="1" xfId="0" quotePrefix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8" fillId="14" borderId="11" xfId="0" applyFont="1" applyFill="1" applyBorder="1" applyAlignment="1">
      <alignment horizontal="center" vertical="center"/>
    </xf>
    <xf numFmtId="0" fontId="9" fillId="14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6" fillId="9" borderId="0" xfId="0" applyFont="1" applyFill="1" applyAlignment="1">
      <alignment horizontal="center" vertical="center"/>
    </xf>
    <xf numFmtId="0" fontId="21" fillId="14" borderId="1" xfId="0" applyFont="1" applyFill="1" applyBorder="1">
      <alignment vertical="center"/>
    </xf>
    <xf numFmtId="0" fontId="15" fillId="14" borderId="21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8" fillId="8" borderId="4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8" fillId="14" borderId="3" xfId="0" applyFont="1" applyFill="1" applyBorder="1" applyAlignment="1">
      <alignment horizontal="center" vertical="center"/>
    </xf>
    <xf numFmtId="0" fontId="8" fillId="14" borderId="7" xfId="0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0" fontId="8" fillId="8" borderId="22" xfId="0" applyFont="1" applyFill="1" applyBorder="1" applyAlignment="1">
      <alignment horizontal="center" vertical="center"/>
    </xf>
    <xf numFmtId="0" fontId="8" fillId="12" borderId="17" xfId="0" applyFont="1" applyFill="1" applyBorder="1" applyAlignment="1">
      <alignment horizontal="center" vertical="center"/>
    </xf>
    <xf numFmtId="0" fontId="8" fillId="12" borderId="22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horizontal="center" vertical="center"/>
    </xf>
    <xf numFmtId="0" fontId="8" fillId="7" borderId="17" xfId="0" applyFont="1" applyFill="1" applyBorder="1" applyAlignment="1">
      <alignment horizontal="center" vertical="center"/>
    </xf>
    <xf numFmtId="0" fontId="25" fillId="13" borderId="17" xfId="0" applyFont="1" applyFill="1" applyBorder="1" applyAlignment="1">
      <alignment horizontal="center" vertical="center"/>
    </xf>
    <xf numFmtId="0" fontId="8" fillId="16" borderId="8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/>
    </xf>
    <xf numFmtId="0" fontId="2" fillId="14" borderId="18" xfId="0" applyFont="1" applyFill="1" applyBorder="1" applyAlignment="1">
      <alignment horizontal="center" vertical="center"/>
    </xf>
    <xf numFmtId="0" fontId="12" fillId="8" borderId="5" xfId="0" applyFont="1" applyFill="1" applyBorder="1">
      <alignment vertical="center"/>
    </xf>
    <xf numFmtId="0" fontId="2" fillId="8" borderId="3" xfId="0" applyFont="1" applyFill="1" applyBorder="1" applyAlignment="1">
      <alignment horizontal="center" vertical="center"/>
    </xf>
    <xf numFmtId="0" fontId="28" fillId="8" borderId="4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28" fillId="8" borderId="5" xfId="0" applyFont="1" applyFill="1" applyBorder="1" applyAlignment="1">
      <alignment horizontal="center" vertical="center"/>
    </xf>
    <xf numFmtId="0" fontId="28" fillId="8" borderId="1" xfId="0" quotePrefix="1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0" fontId="2" fillId="14" borderId="4" xfId="0" quotePrefix="1" applyFont="1" applyFill="1" applyBorder="1" applyAlignment="1">
      <alignment horizontal="center" vertical="center"/>
    </xf>
    <xf numFmtId="0" fontId="2" fillId="14" borderId="17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29" fillId="0" borderId="1" xfId="0" applyFont="1" applyBorder="1" applyAlignment="1">
      <alignment horizontal="left" vertical="center"/>
    </xf>
    <xf numFmtId="0" fontId="29" fillId="0" borderId="17" xfId="0" applyFont="1" applyBorder="1">
      <alignment vertical="center"/>
    </xf>
    <xf numFmtId="0" fontId="29" fillId="0" borderId="1" xfId="0" applyFont="1" applyBorder="1">
      <alignment vertical="center"/>
    </xf>
    <xf numFmtId="0" fontId="29" fillId="0" borderId="2" xfId="0" applyFont="1" applyBorder="1">
      <alignment vertical="center"/>
    </xf>
    <xf numFmtId="0" fontId="30" fillId="0" borderId="2" xfId="0" applyFont="1" applyBorder="1" applyAlignment="1">
      <alignment horizontal="center" vertical="center"/>
    </xf>
    <xf numFmtId="0" fontId="17" fillId="14" borderId="2" xfId="0" applyFont="1" applyFill="1" applyBorder="1" applyAlignment="1">
      <alignment horizontal="center" vertical="center"/>
    </xf>
    <xf numFmtId="0" fontId="28" fillId="8" borderId="12" xfId="0" applyFont="1" applyFill="1" applyBorder="1" applyAlignment="1">
      <alignment horizontal="center" vertical="center"/>
    </xf>
    <xf numFmtId="0" fontId="28" fillId="8" borderId="3" xfId="0" applyFont="1" applyFill="1" applyBorder="1" applyAlignment="1">
      <alignment horizontal="center" vertical="center" wrapText="1"/>
    </xf>
    <xf numFmtId="0" fontId="28" fillId="8" borderId="6" xfId="0" applyFont="1" applyFill="1" applyBorder="1" applyAlignment="1">
      <alignment horizontal="center" vertical="center"/>
    </xf>
    <xf numFmtId="0" fontId="28" fillId="8" borderId="4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2" fillId="16" borderId="22" xfId="0" applyFont="1" applyFill="1" applyBorder="1" applyAlignment="1">
      <alignment horizontal="center" vertical="center" wrapText="1"/>
    </xf>
    <xf numFmtId="0" fontId="2" fillId="16" borderId="24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>
      <alignment vertical="center"/>
    </xf>
    <xf numFmtId="20" fontId="1" fillId="0" borderId="0" xfId="0" applyNumberFormat="1" applyFont="1">
      <alignment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>
      <alignment vertical="center"/>
    </xf>
    <xf numFmtId="0" fontId="1" fillId="9" borderId="1" xfId="0" applyFont="1" applyFill="1" applyBorder="1">
      <alignment vertical="center"/>
    </xf>
    <xf numFmtId="0" fontId="1" fillId="9" borderId="1" xfId="0" applyFont="1" applyFill="1" applyBorder="1" applyAlignment="1">
      <alignment horizontal="center" vertical="center"/>
    </xf>
    <xf numFmtId="0" fontId="1" fillId="14" borderId="1" xfId="0" applyFont="1" applyFill="1" applyBorder="1">
      <alignment vertical="center"/>
    </xf>
    <xf numFmtId="0" fontId="1" fillId="14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BD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E15"/>
  <sheetViews>
    <sheetView workbookViewId="0">
      <selection activeCell="D28" sqref="D28"/>
    </sheetView>
  </sheetViews>
  <sheetFormatPr defaultRowHeight="14.25"/>
  <cols>
    <col min="2" max="2" width="10.140625" bestFit="1" customWidth="1"/>
    <col min="3" max="3" width="9.28515625" bestFit="1" customWidth="1"/>
    <col min="4" max="4" width="32.140625" customWidth="1"/>
  </cols>
  <sheetData>
    <row r="1" spans="1:5" ht="12.75">
      <c r="A1" s="9" t="s">
        <v>0</v>
      </c>
      <c r="B1" s="9" t="s">
        <v>1</v>
      </c>
      <c r="C1" s="9" t="s">
        <v>2</v>
      </c>
      <c r="D1" s="9" t="s">
        <v>3</v>
      </c>
      <c r="E1" s="5"/>
    </row>
    <row r="2" spans="1:5" ht="12.75">
      <c r="A2" s="13" t="s">
        <v>4</v>
      </c>
      <c r="B2" s="11">
        <v>45637</v>
      </c>
      <c r="C2" s="10" t="s">
        <v>5</v>
      </c>
      <c r="D2" s="10" t="s">
        <v>6</v>
      </c>
      <c r="E2" s="5"/>
    </row>
    <row r="3" spans="1:5" ht="12.75">
      <c r="A3" s="13" t="s">
        <v>7</v>
      </c>
      <c r="B3" s="11">
        <v>45737</v>
      </c>
      <c r="C3" s="10" t="s">
        <v>5</v>
      </c>
      <c r="D3" s="10" t="s">
        <v>8</v>
      </c>
      <c r="E3" s="5"/>
    </row>
    <row r="4" spans="1:5" ht="12.75">
      <c r="A4" s="43" t="s">
        <v>9</v>
      </c>
      <c r="B4" s="42">
        <v>45887</v>
      </c>
      <c r="C4" s="10" t="s">
        <v>5</v>
      </c>
      <c r="D4" s="10" t="s">
        <v>10</v>
      </c>
      <c r="E4" s="5"/>
    </row>
    <row r="5" spans="1:5" ht="12.75">
      <c r="A5" s="10"/>
      <c r="B5" s="11"/>
      <c r="C5" s="10"/>
      <c r="D5" s="10"/>
      <c r="E5" s="5"/>
    </row>
    <row r="6" spans="1:5" ht="12.75">
      <c r="A6" s="12"/>
      <c r="B6" s="12"/>
      <c r="C6" s="12"/>
      <c r="D6" s="10"/>
      <c r="E6" s="5"/>
    </row>
    <row r="7" spans="1:5" ht="12.75">
      <c r="A7" s="12"/>
      <c r="B7" s="12"/>
      <c r="C7" s="12"/>
      <c r="D7" s="10"/>
      <c r="E7" s="5"/>
    </row>
    <row r="8" spans="1:5" ht="12.75">
      <c r="A8" s="12"/>
      <c r="B8" s="12"/>
      <c r="C8" s="12"/>
      <c r="D8" s="10"/>
      <c r="E8" s="5"/>
    </row>
    <row r="9" spans="1:5" ht="12.75">
      <c r="A9" s="6"/>
      <c r="B9" s="7"/>
      <c r="C9" s="6"/>
      <c r="D9" s="6"/>
    </row>
    <row r="10" spans="1:5" ht="12.75">
      <c r="A10" s="2"/>
      <c r="B10" s="3"/>
      <c r="C10" s="2"/>
      <c r="D10" s="2"/>
    </row>
    <row r="11" spans="1:5" ht="12.75">
      <c r="A11" s="2"/>
      <c r="B11" s="3"/>
      <c r="C11" s="2"/>
      <c r="D11" s="4"/>
    </row>
    <row r="12" spans="1:5" ht="12.75">
      <c r="D12" s="2"/>
    </row>
    <row r="13" spans="1:5" ht="12.75">
      <c r="D13" s="2"/>
    </row>
    <row r="14" spans="1:5" ht="12.75">
      <c r="A14" s="2"/>
      <c r="B14" s="3"/>
      <c r="C14" s="2"/>
      <c r="D14" s="2"/>
    </row>
    <row r="15" spans="1:5" ht="12.75">
      <c r="D15" s="2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D0B34-A4C8-43F4-9876-BE2F23FEFC9F}">
  <sheetPr>
    <tabColor rgb="FFFFFFFF"/>
  </sheetPr>
  <dimension ref="A1:Y225"/>
  <sheetViews>
    <sheetView workbookViewId="0">
      <pane ySplit="1" topLeftCell="A2" activePane="bottomLeft" state="frozen"/>
      <selection pane="bottomLeft" activeCell="C38" sqref="C38:C50"/>
    </sheetView>
  </sheetViews>
  <sheetFormatPr defaultRowHeight="12.75"/>
  <cols>
    <col min="1" max="1" width="14.85546875" style="17" customWidth="1"/>
    <col min="2" max="2" width="11" style="17" customWidth="1"/>
    <col min="3" max="3" width="23.42578125" style="17" customWidth="1"/>
    <col min="4" max="6" width="11" style="17" customWidth="1"/>
    <col min="7" max="7" width="23" style="17" customWidth="1"/>
    <col min="8" max="8" width="16.42578125" style="17" customWidth="1"/>
    <col min="9" max="9" width="17.7109375" style="17" customWidth="1"/>
    <col min="10" max="10" width="13.7109375" style="17" bestFit="1" customWidth="1"/>
    <col min="11" max="11" width="38.5703125" style="17" bestFit="1" customWidth="1"/>
    <col min="12" max="12" width="21.28515625" style="17" bestFit="1" customWidth="1"/>
    <col min="13" max="13" width="10.85546875" style="17" bestFit="1" customWidth="1"/>
    <col min="14" max="14" width="10.5703125" style="17" bestFit="1" customWidth="1"/>
    <col min="15" max="15" width="11" style="17" customWidth="1"/>
    <col min="16" max="16" width="10.7109375" style="17" bestFit="1" customWidth="1"/>
    <col min="17" max="17" width="10.5703125" style="17" bestFit="1" customWidth="1"/>
    <col min="18" max="19" width="10.85546875" style="17" bestFit="1" customWidth="1"/>
    <col min="20" max="20" width="11" style="17" customWidth="1"/>
    <col min="21" max="21" width="4.7109375" style="17" bestFit="1" customWidth="1"/>
    <col min="22" max="22" width="5.5703125" style="17" bestFit="1" customWidth="1"/>
    <col min="23" max="23" width="10.7109375" style="17" bestFit="1" customWidth="1"/>
    <col min="24" max="24" width="10.5703125" style="17" bestFit="1" customWidth="1"/>
    <col min="25" max="16384" width="9.140625" style="17"/>
  </cols>
  <sheetData>
    <row r="1" spans="1:24" ht="15" hidden="1" customHeight="1">
      <c r="A1" s="25"/>
      <c r="B1" s="25"/>
      <c r="C1" s="26" t="s">
        <v>11</v>
      </c>
      <c r="D1" s="25" t="s">
        <v>12</v>
      </c>
      <c r="E1" s="25" t="s">
        <v>13</v>
      </c>
      <c r="F1" s="25" t="s">
        <v>14</v>
      </c>
      <c r="G1" s="21" t="s">
        <v>15</v>
      </c>
      <c r="H1" s="21"/>
      <c r="I1" s="21"/>
      <c r="J1" s="8"/>
      <c r="K1" s="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2.5" customHeight="1">
      <c r="A2" s="18"/>
      <c r="B2" s="18"/>
      <c r="C2" s="18" t="s">
        <v>16</v>
      </c>
      <c r="D2" s="63" t="s">
        <v>12</v>
      </c>
      <c r="E2" s="63" t="s">
        <v>13</v>
      </c>
      <c r="F2" s="63" t="s">
        <v>14</v>
      </c>
      <c r="G2" s="22" t="s">
        <v>17</v>
      </c>
      <c r="H2" s="23" t="s">
        <v>18</v>
      </c>
      <c r="I2" s="34" t="s">
        <v>19</v>
      </c>
      <c r="J2" s="103" t="s">
        <v>20</v>
      </c>
      <c r="K2" s="23" t="s">
        <v>3</v>
      </c>
      <c r="L2" s="23" t="s">
        <v>21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" customHeight="1">
      <c r="A3" s="171" t="s">
        <v>22</v>
      </c>
      <c r="B3" s="19" t="s">
        <v>23</v>
      </c>
      <c r="C3" s="19" t="s">
        <v>24</v>
      </c>
      <c r="D3" s="19">
        <v>32</v>
      </c>
      <c r="E3" s="19" t="str">
        <f t="shared" ref="E3:E18" si="0">DEC2HEX(HEX2DEC(F3)-D3*1024+1)</f>
        <v>FFFF8000</v>
      </c>
      <c r="F3" s="19" t="s">
        <v>25</v>
      </c>
      <c r="G3" s="20" t="s">
        <v>26</v>
      </c>
      <c r="H3" s="19"/>
      <c r="I3" s="44"/>
      <c r="J3" s="16" t="s">
        <v>27</v>
      </c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">
      <c r="A4" s="172"/>
      <c r="B4" s="19" t="s">
        <v>23</v>
      </c>
      <c r="C4" s="19" t="s">
        <v>28</v>
      </c>
      <c r="D4" s="19">
        <v>24</v>
      </c>
      <c r="E4" s="19" t="str">
        <f>DEC2HEX(HEX2DEC(F4)-D4*1024+1)</f>
        <v>FFFF2000</v>
      </c>
      <c r="F4" s="19" t="str">
        <f>DEC2HEX(HEX2DEC(F3)-D3*1024)</f>
        <v>FFFF7FFF</v>
      </c>
      <c r="G4" s="20" t="s">
        <v>29</v>
      </c>
      <c r="H4" s="19"/>
      <c r="I4" s="44"/>
      <c r="J4" s="16" t="s">
        <v>27</v>
      </c>
      <c r="K4" s="8"/>
      <c r="L4" s="1"/>
      <c r="M4" s="8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">
      <c r="A5" s="172"/>
      <c r="B5" s="19" t="s">
        <v>23</v>
      </c>
      <c r="C5" s="19" t="s">
        <v>30</v>
      </c>
      <c r="D5" s="19">
        <v>104</v>
      </c>
      <c r="E5" s="19" t="str">
        <f t="shared" si="0"/>
        <v>FFFD8000</v>
      </c>
      <c r="F5" s="19" t="str">
        <f t="shared" ref="F5:F18" si="1">DEC2HEX(HEX2DEC(F4)-D4*1024)</f>
        <v>FFFF1FFF</v>
      </c>
      <c r="G5" s="20" t="s">
        <v>31</v>
      </c>
      <c r="H5" s="19"/>
      <c r="I5" s="44"/>
      <c r="J5" s="16" t="s">
        <v>27</v>
      </c>
      <c r="K5" s="8"/>
      <c r="L5" s="8"/>
      <c r="M5" s="8"/>
      <c r="N5" s="8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">
      <c r="A6" s="172"/>
      <c r="B6" s="19" t="s">
        <v>23</v>
      </c>
      <c r="C6" s="16" t="s">
        <v>27</v>
      </c>
      <c r="D6" s="19">
        <v>832</v>
      </c>
      <c r="E6" s="19" t="str">
        <f t="shared" si="0"/>
        <v>FFF08000</v>
      </c>
      <c r="F6" s="19" t="str">
        <f t="shared" si="1"/>
        <v>FFFD7FFF</v>
      </c>
      <c r="G6" s="20" t="s">
        <v>32</v>
      </c>
      <c r="H6" s="19"/>
      <c r="I6" s="44"/>
      <c r="J6" s="16" t="s">
        <v>27</v>
      </c>
      <c r="K6" s="8"/>
      <c r="L6" s="1"/>
      <c r="M6" s="8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">
      <c r="A7" s="172"/>
      <c r="B7" s="19" t="s">
        <v>23</v>
      </c>
      <c r="C7" s="16" t="s">
        <v>27</v>
      </c>
      <c r="D7" s="19">
        <v>32</v>
      </c>
      <c r="E7" s="19" t="str">
        <f t="shared" si="0"/>
        <v>FFF00000</v>
      </c>
      <c r="F7" s="19" t="str">
        <f t="shared" si="1"/>
        <v>FFF07FFF</v>
      </c>
      <c r="G7" s="20" t="s">
        <v>26</v>
      </c>
      <c r="H7" s="19"/>
      <c r="I7" s="44"/>
      <c r="J7" s="16" t="s">
        <v>27</v>
      </c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">
      <c r="A8" s="172"/>
      <c r="B8" s="19" t="s">
        <v>23</v>
      </c>
      <c r="C8" s="16" t="s">
        <v>27</v>
      </c>
      <c r="D8" s="19">
        <v>1024</v>
      </c>
      <c r="E8" s="19" t="str">
        <f t="shared" si="0"/>
        <v>FFE00000</v>
      </c>
      <c r="F8" s="19" t="str">
        <f t="shared" si="1"/>
        <v>FFEFFFFF</v>
      </c>
      <c r="G8" s="20" t="s">
        <v>33</v>
      </c>
      <c r="H8" s="19"/>
      <c r="I8" s="44"/>
      <c r="J8" s="16" t="s">
        <v>27</v>
      </c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">
      <c r="A9" s="172"/>
      <c r="B9" s="19" t="s">
        <v>23</v>
      </c>
      <c r="C9" s="16" t="s">
        <v>27</v>
      </c>
      <c r="D9" s="19">
        <f>6*1024-64-256-256</f>
        <v>5568</v>
      </c>
      <c r="E9" s="19" t="str">
        <f t="shared" si="0"/>
        <v>FF890000</v>
      </c>
      <c r="F9" s="19" t="str">
        <f t="shared" si="1"/>
        <v>FFDFFFFF</v>
      </c>
      <c r="G9" s="20"/>
      <c r="H9" s="19"/>
      <c r="I9" s="44"/>
      <c r="J9" s="82" t="s">
        <v>27</v>
      </c>
      <c r="K9" s="8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" customHeight="1">
      <c r="A10" s="172"/>
      <c r="B10" s="19" t="s">
        <v>23</v>
      </c>
      <c r="C10" s="16" t="s">
        <v>27</v>
      </c>
      <c r="D10" s="20">
        <v>256</v>
      </c>
      <c r="E10" s="20" t="str">
        <f t="shared" si="0"/>
        <v>FF850000</v>
      </c>
      <c r="F10" s="19" t="str">
        <f t="shared" si="1"/>
        <v>FF88FFFF</v>
      </c>
      <c r="G10" s="32" t="s">
        <v>34</v>
      </c>
      <c r="H10" s="19"/>
      <c r="I10" s="44"/>
      <c r="J10" s="16" t="s">
        <v>27</v>
      </c>
      <c r="K10" s="8"/>
      <c r="L10" s="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>
      <c r="A11" s="172"/>
      <c r="B11" s="19" t="s">
        <v>23</v>
      </c>
      <c r="C11" s="16" t="s">
        <v>27</v>
      </c>
      <c r="D11" s="19">
        <v>64</v>
      </c>
      <c r="E11" s="19" t="str">
        <f t="shared" si="0"/>
        <v>FF840000</v>
      </c>
      <c r="F11" s="19" t="str">
        <f t="shared" si="1"/>
        <v>FF84FFFF</v>
      </c>
      <c r="G11" s="32" t="s">
        <v>35</v>
      </c>
      <c r="H11" s="19"/>
      <c r="I11" s="44"/>
      <c r="J11" s="104" t="s">
        <v>27</v>
      </c>
      <c r="K11" s="8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">
      <c r="A12" s="172"/>
      <c r="B12" s="124" t="s">
        <v>23</v>
      </c>
      <c r="C12" s="16" t="s">
        <v>27</v>
      </c>
      <c r="D12" s="19">
        <v>256</v>
      </c>
      <c r="E12" s="19" t="str">
        <f>DEC2HEX(HEX2DEC(F12)-D12*1024+1)</f>
        <v>FF800000</v>
      </c>
      <c r="F12" s="19" t="str">
        <f t="shared" si="1"/>
        <v>FF83FFFF</v>
      </c>
      <c r="G12" s="32" t="s">
        <v>34</v>
      </c>
      <c r="H12" s="19"/>
      <c r="I12" s="44"/>
      <c r="J12" s="16" t="s">
        <v>27</v>
      </c>
      <c r="K12" s="8"/>
      <c r="L12" s="1"/>
      <c r="M12" s="1"/>
      <c r="N12" s="1"/>
      <c r="O12" s="1"/>
      <c r="P12" s="1"/>
      <c r="Q12" s="1"/>
      <c r="S12" s="1"/>
      <c r="T12" s="1"/>
      <c r="U12" s="1"/>
      <c r="V12" s="1"/>
      <c r="W12" s="1"/>
      <c r="X12" s="1"/>
    </row>
    <row r="13" spans="1:24" ht="15">
      <c r="A13" s="172"/>
      <c r="B13" s="124" t="s">
        <v>23</v>
      </c>
      <c r="C13" s="29" t="s">
        <v>27</v>
      </c>
      <c r="D13" s="20">
        <v>14336</v>
      </c>
      <c r="E13" s="20" t="str">
        <f t="shared" si="0"/>
        <v>FEA00000</v>
      </c>
      <c r="F13" s="19" t="str">
        <f t="shared" si="1"/>
        <v>FF7FFFFF</v>
      </c>
      <c r="G13" s="20" t="s">
        <v>36</v>
      </c>
      <c r="H13" s="19"/>
      <c r="I13" s="44"/>
      <c r="J13" s="16" t="s">
        <v>27</v>
      </c>
      <c r="K13" s="8"/>
      <c r="L13" s="1"/>
      <c r="M13" s="1"/>
      <c r="N13" s="1"/>
      <c r="O13" s="1"/>
      <c r="P13" s="1"/>
      <c r="Q13" s="1"/>
      <c r="S13" s="1"/>
      <c r="T13" s="1"/>
      <c r="U13" s="1"/>
      <c r="V13" s="1"/>
      <c r="W13" s="1"/>
      <c r="X13" s="1"/>
    </row>
    <row r="14" spans="1:24" ht="15">
      <c r="A14" s="172"/>
      <c r="B14" s="125" t="s">
        <v>23</v>
      </c>
      <c r="C14" s="29" t="s">
        <v>27</v>
      </c>
      <c r="D14" s="80">
        <v>1024</v>
      </c>
      <c r="E14" s="19" t="str">
        <f t="shared" si="0"/>
        <v>FE900000</v>
      </c>
      <c r="F14" s="19" t="str">
        <f t="shared" si="1"/>
        <v>FE9FFFFF</v>
      </c>
      <c r="G14" s="80" t="s">
        <v>33</v>
      </c>
      <c r="H14" s="79"/>
      <c r="I14" s="81"/>
      <c r="J14" s="82" t="s">
        <v>27</v>
      </c>
      <c r="K14" s="8"/>
      <c r="L14" s="1"/>
      <c r="M14" s="1"/>
      <c r="N14" s="1"/>
      <c r="O14" s="1"/>
      <c r="P14" s="1"/>
      <c r="Q14" s="1"/>
      <c r="S14" s="1"/>
      <c r="T14" s="1"/>
      <c r="U14" s="1"/>
      <c r="V14" s="1"/>
      <c r="W14" s="1"/>
      <c r="X14" s="1"/>
    </row>
    <row r="15" spans="1:24" ht="15">
      <c r="A15" s="172"/>
      <c r="B15" s="125" t="s">
        <v>23</v>
      </c>
      <c r="C15" s="104" t="s">
        <v>27</v>
      </c>
      <c r="D15" s="80">
        <v>1024</v>
      </c>
      <c r="E15" s="79" t="str">
        <f t="shared" si="0"/>
        <v>FE800000</v>
      </c>
      <c r="F15" s="79" t="str">
        <f t="shared" si="1"/>
        <v>FE8FFFFF</v>
      </c>
      <c r="G15" s="80" t="s">
        <v>33</v>
      </c>
      <c r="H15" s="79"/>
      <c r="I15" s="81"/>
      <c r="J15" s="82" t="s">
        <v>27</v>
      </c>
      <c r="K15" s="8"/>
      <c r="L15" s="8"/>
      <c r="M15" s="1"/>
      <c r="N15" s="1"/>
      <c r="O15" s="1"/>
      <c r="P15" s="1"/>
      <c r="Q15" s="1"/>
      <c r="S15" s="1"/>
      <c r="T15" s="1"/>
      <c r="U15" s="1"/>
      <c r="V15" s="1"/>
      <c r="W15" s="1"/>
      <c r="X15" s="1"/>
    </row>
    <row r="16" spans="1:24" ht="15">
      <c r="A16" s="172"/>
      <c r="B16" s="125" t="s">
        <v>23</v>
      </c>
      <c r="C16" s="104" t="s">
        <v>27</v>
      </c>
      <c r="D16" s="19">
        <v>2048</v>
      </c>
      <c r="E16" s="19" t="str">
        <f t="shared" si="0"/>
        <v>FE600000</v>
      </c>
      <c r="F16" s="19" t="str">
        <f t="shared" si="1"/>
        <v>FE7FFFFF</v>
      </c>
      <c r="G16" s="20" t="s">
        <v>37</v>
      </c>
      <c r="H16" s="19"/>
      <c r="I16" s="44"/>
      <c r="J16" s="82" t="s">
        <v>27</v>
      </c>
      <c r="K16" s="8"/>
      <c r="L16" s="8"/>
      <c r="M16" s="1"/>
      <c r="N16" s="1"/>
      <c r="O16" s="1"/>
      <c r="P16" s="1"/>
      <c r="Q16" s="1"/>
      <c r="S16" s="1"/>
      <c r="T16" s="1"/>
      <c r="U16" s="1"/>
      <c r="V16" s="1"/>
      <c r="W16" s="1"/>
      <c r="X16" s="1"/>
    </row>
    <row r="17" spans="1:25" ht="15">
      <c r="A17" s="173"/>
      <c r="B17" s="125" t="s">
        <v>23</v>
      </c>
      <c r="C17" s="104" t="s">
        <v>27</v>
      </c>
      <c r="D17" s="119">
        <v>256</v>
      </c>
      <c r="E17" s="79" t="str">
        <f t="shared" si="0"/>
        <v>FE5C0000</v>
      </c>
      <c r="F17" s="79" t="str">
        <f>DEC2HEX(HEX2DEC(F16)-D16*1024)</f>
        <v>FE5FFFFF</v>
      </c>
      <c r="G17" s="119" t="s">
        <v>38</v>
      </c>
      <c r="H17" s="119"/>
      <c r="I17" s="120"/>
      <c r="J17" s="82" t="s">
        <v>27</v>
      </c>
      <c r="K17" s="41"/>
      <c r="L17" s="41"/>
      <c r="M17" s="39"/>
      <c r="N17" s="39"/>
      <c r="O17" s="39"/>
      <c r="P17" s="39"/>
      <c r="Q17" s="39"/>
      <c r="R17" s="40"/>
      <c r="S17" s="39"/>
      <c r="T17" s="39"/>
      <c r="U17" s="39"/>
      <c r="V17" s="39"/>
      <c r="W17" s="39"/>
      <c r="X17" s="39"/>
      <c r="Y17" s="40"/>
    </row>
    <row r="18" spans="1:25" ht="15">
      <c r="A18" s="170"/>
      <c r="B18" s="126" t="s">
        <v>39</v>
      </c>
      <c r="C18" s="28" t="s">
        <v>40</v>
      </c>
      <c r="D18" s="28">
        <v>256</v>
      </c>
      <c r="E18" s="65" t="str">
        <f t="shared" si="0"/>
        <v>FE580000</v>
      </c>
      <c r="F18" s="65" t="str">
        <f t="shared" si="1"/>
        <v>FE5BFFFF</v>
      </c>
      <c r="G18" s="28" t="s">
        <v>38</v>
      </c>
      <c r="H18" s="28" t="s">
        <v>41</v>
      </c>
      <c r="I18" s="46"/>
      <c r="J18" s="33" t="s">
        <v>42</v>
      </c>
      <c r="K18" s="83" t="s">
        <v>43</v>
      </c>
      <c r="L18" s="133" t="s">
        <v>44</v>
      </c>
      <c r="M18" s="39"/>
      <c r="N18" s="39"/>
      <c r="O18" s="39"/>
      <c r="P18" s="39"/>
      <c r="Q18" s="39"/>
      <c r="R18" s="40"/>
      <c r="S18" s="39"/>
      <c r="T18" s="39"/>
      <c r="U18" s="39"/>
      <c r="V18" s="39"/>
      <c r="W18" s="39"/>
      <c r="X18" s="39"/>
      <c r="Y18" s="40"/>
    </row>
    <row r="19" spans="1:25" ht="15">
      <c r="A19" s="170"/>
      <c r="B19" s="126" t="s">
        <v>39</v>
      </c>
      <c r="C19" s="16" t="s">
        <v>27</v>
      </c>
      <c r="D19" s="19">
        <v>256</v>
      </c>
      <c r="E19" s="19" t="str">
        <f t="shared" ref="E19:E21" si="2">DEC2HEX(HEX2DEC(F19)-D19*1024+1)</f>
        <v>FE540000</v>
      </c>
      <c r="F19" s="19" t="str">
        <f t="shared" ref="F19:F21" si="3">DEC2HEX(HEX2DEC(F18)-D18*1024)</f>
        <v>FE57FFFF</v>
      </c>
      <c r="G19" s="19" t="s">
        <v>38</v>
      </c>
      <c r="H19" s="19" t="s">
        <v>41</v>
      </c>
      <c r="I19" s="44"/>
      <c r="J19" s="135" t="s">
        <v>42</v>
      </c>
      <c r="K19" s="41"/>
      <c r="L19" s="41"/>
      <c r="M19" s="39"/>
      <c r="N19" s="39"/>
      <c r="O19" s="39"/>
      <c r="P19" s="39"/>
      <c r="Q19" s="39"/>
      <c r="R19" s="40"/>
      <c r="S19" s="39"/>
      <c r="T19" s="39"/>
      <c r="U19" s="39"/>
      <c r="V19" s="39"/>
      <c r="W19" s="39"/>
      <c r="X19" s="39"/>
      <c r="Y19" s="40"/>
    </row>
    <row r="20" spans="1:25" ht="15">
      <c r="A20" s="170"/>
      <c r="B20" s="126" t="s">
        <v>39</v>
      </c>
      <c r="C20" s="30" t="s">
        <v>45</v>
      </c>
      <c r="D20" s="31">
        <v>256</v>
      </c>
      <c r="E20" s="30" t="str">
        <f t="shared" si="2"/>
        <v>FE500000</v>
      </c>
      <c r="F20" s="30" t="str">
        <f t="shared" si="3"/>
        <v>FE53FFFF</v>
      </c>
      <c r="G20" s="31" t="s">
        <v>38</v>
      </c>
      <c r="H20" s="31" t="s">
        <v>41</v>
      </c>
      <c r="I20" s="59"/>
      <c r="J20" s="142" t="s">
        <v>42</v>
      </c>
      <c r="K20" s="161"/>
      <c r="L20" s="162"/>
      <c r="M20" s="39"/>
      <c r="N20" s="39"/>
      <c r="O20" s="39"/>
      <c r="P20" s="39"/>
      <c r="Q20" s="39"/>
      <c r="R20" s="40"/>
      <c r="S20" s="39"/>
      <c r="T20" s="39"/>
      <c r="U20" s="39"/>
      <c r="V20" s="39"/>
      <c r="W20" s="39"/>
      <c r="X20" s="39"/>
      <c r="Y20" s="40"/>
    </row>
    <row r="21" spans="1:25" ht="15" customHeight="1">
      <c r="A21" s="170"/>
      <c r="B21" s="126" t="s">
        <v>39</v>
      </c>
      <c r="C21" s="16" t="s">
        <v>27</v>
      </c>
      <c r="D21" s="19">
        <v>256</v>
      </c>
      <c r="E21" s="19" t="str">
        <f t="shared" si="2"/>
        <v>FE4C0000</v>
      </c>
      <c r="F21" s="19" t="str">
        <f t="shared" si="3"/>
        <v>FE4FFFFF</v>
      </c>
      <c r="G21" s="19" t="s">
        <v>38</v>
      </c>
      <c r="H21" s="19" t="s">
        <v>41</v>
      </c>
      <c r="I21" s="44"/>
      <c r="J21" s="135" t="s">
        <v>42</v>
      </c>
      <c r="K21" s="41"/>
      <c r="L21" s="41"/>
      <c r="M21" s="39"/>
      <c r="N21" s="39"/>
      <c r="O21" s="39"/>
      <c r="P21" s="39"/>
      <c r="Q21" s="39"/>
      <c r="R21" s="40"/>
      <c r="S21" s="39"/>
      <c r="T21" s="39"/>
      <c r="U21" s="39"/>
      <c r="V21" s="39"/>
      <c r="W21" s="39"/>
      <c r="X21" s="39"/>
      <c r="Y21" s="40"/>
    </row>
    <row r="22" spans="1:25" ht="15" customHeight="1">
      <c r="A22" s="170"/>
      <c r="B22" s="126" t="s">
        <v>39</v>
      </c>
      <c r="C22" s="28" t="s">
        <v>46</v>
      </c>
      <c r="D22" s="27">
        <v>256</v>
      </c>
      <c r="E22" s="28" t="str">
        <f t="shared" ref="E22" si="4">DEC2HEX(HEX2DEC(F22)-D22*1024+1)</f>
        <v>FE480000</v>
      </c>
      <c r="F22" s="28" t="str">
        <f t="shared" ref="F22" si="5">DEC2HEX(HEX2DEC(F21)-D21*1024)</f>
        <v>FE4BFFFF</v>
      </c>
      <c r="G22" s="28" t="s">
        <v>38</v>
      </c>
      <c r="H22" s="28" t="s">
        <v>41</v>
      </c>
      <c r="I22" s="46"/>
      <c r="J22" s="33" t="s">
        <v>42</v>
      </c>
      <c r="K22" s="83" t="s">
        <v>47</v>
      </c>
      <c r="L22" s="133" t="s">
        <v>44</v>
      </c>
      <c r="M22" s="39"/>
      <c r="N22" s="39"/>
      <c r="O22" s="39"/>
      <c r="P22" s="39"/>
      <c r="Q22" s="39"/>
      <c r="R22" s="40"/>
      <c r="S22" s="39"/>
      <c r="T22" s="39"/>
      <c r="U22" s="39"/>
      <c r="V22" s="39"/>
      <c r="W22" s="39"/>
      <c r="X22" s="39"/>
      <c r="Y22" s="40"/>
    </row>
    <row r="23" spans="1:25" ht="15" customHeight="1">
      <c r="A23" s="170"/>
      <c r="B23" s="126" t="s">
        <v>39</v>
      </c>
      <c r="C23" s="16" t="s">
        <v>27</v>
      </c>
      <c r="D23" s="19">
        <v>256</v>
      </c>
      <c r="E23" s="19" t="str">
        <f t="shared" ref="E23:E100" si="6">DEC2HEX(HEX2DEC(F23)-D23*1024+1)</f>
        <v>FE440000</v>
      </c>
      <c r="F23" s="19" t="str">
        <f t="shared" ref="F23:F100" si="7">DEC2HEX(HEX2DEC(F22)-D22*1024)</f>
        <v>FE47FFFF</v>
      </c>
      <c r="G23" s="19" t="s">
        <v>38</v>
      </c>
      <c r="H23" s="19" t="s">
        <v>41</v>
      </c>
      <c r="I23" s="44"/>
      <c r="J23" s="135" t="s">
        <v>42</v>
      </c>
      <c r="K23" s="41"/>
      <c r="L23" s="41"/>
      <c r="M23" s="39"/>
      <c r="N23" s="39"/>
      <c r="O23" s="39"/>
      <c r="P23" s="39"/>
      <c r="Q23" s="39"/>
      <c r="R23" s="40"/>
      <c r="S23" s="39"/>
      <c r="T23" s="39"/>
      <c r="U23" s="39"/>
      <c r="V23" s="39"/>
      <c r="W23" s="39"/>
      <c r="X23" s="39"/>
      <c r="Y23" s="40"/>
    </row>
    <row r="24" spans="1:25" ht="15" customHeight="1">
      <c r="A24" s="170"/>
      <c r="B24" s="130" t="s">
        <v>48</v>
      </c>
      <c r="C24" s="28" t="s">
        <v>49</v>
      </c>
      <c r="D24" s="28">
        <v>256</v>
      </c>
      <c r="E24" s="28" t="str">
        <f>DEC2HEX(HEX2DEC(F24)-D24*1024+1)</f>
        <v>FE400000</v>
      </c>
      <c r="F24" s="28" t="str">
        <f t="shared" si="7"/>
        <v>FE43FFFF</v>
      </c>
      <c r="G24" s="28" t="s">
        <v>38</v>
      </c>
      <c r="H24" s="28" t="s">
        <v>41</v>
      </c>
      <c r="I24" s="46"/>
      <c r="J24" s="33" t="s">
        <v>42</v>
      </c>
      <c r="K24" s="83" t="s">
        <v>50</v>
      </c>
      <c r="L24" s="134" t="s">
        <v>51</v>
      </c>
      <c r="M24" s="39"/>
      <c r="N24" s="39"/>
      <c r="O24" s="39"/>
      <c r="P24" s="39"/>
      <c r="Q24" s="39"/>
      <c r="R24" s="40"/>
      <c r="S24" s="39"/>
      <c r="T24" s="39"/>
      <c r="U24" s="39"/>
      <c r="V24" s="39"/>
      <c r="W24" s="39"/>
      <c r="X24" s="39"/>
      <c r="Y24" s="40"/>
    </row>
    <row r="25" spans="1:25" ht="15" customHeight="1">
      <c r="A25" s="170"/>
      <c r="B25" s="130" t="s">
        <v>48</v>
      </c>
      <c r="C25" s="65" t="s">
        <v>45</v>
      </c>
      <c r="D25" s="65">
        <f>1024-64*12</f>
        <v>256</v>
      </c>
      <c r="E25" s="65" t="str">
        <f t="shared" si="6"/>
        <v>FE3C0000</v>
      </c>
      <c r="F25" s="65" t="str">
        <f t="shared" si="7"/>
        <v>FE3FFFFF</v>
      </c>
      <c r="G25" s="65" t="s">
        <v>38</v>
      </c>
      <c r="H25" s="65" t="s">
        <v>41</v>
      </c>
      <c r="I25" s="78"/>
      <c r="J25" s="136" t="s">
        <v>42</v>
      </c>
      <c r="K25" s="83" t="s">
        <v>52</v>
      </c>
      <c r="L25" s="134" t="s">
        <v>51</v>
      </c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40"/>
    </row>
    <row r="26" spans="1:25" ht="15" customHeight="1">
      <c r="A26" s="170"/>
      <c r="B26" s="126" t="s">
        <v>39</v>
      </c>
      <c r="C26" s="16" t="s">
        <v>27</v>
      </c>
      <c r="D26" s="19">
        <v>64</v>
      </c>
      <c r="E26" s="19" t="str">
        <f t="shared" si="6"/>
        <v>FE3B0000</v>
      </c>
      <c r="F26" s="19" t="str">
        <f t="shared" si="7"/>
        <v>FE3BFFFF</v>
      </c>
      <c r="G26" s="19" t="s">
        <v>53</v>
      </c>
      <c r="H26" s="20" t="s">
        <v>41</v>
      </c>
      <c r="I26" s="45"/>
      <c r="J26" s="135" t="s">
        <v>42</v>
      </c>
      <c r="K26" s="41"/>
      <c r="L26" s="41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40"/>
    </row>
    <row r="27" spans="1:25" ht="15" customHeight="1">
      <c r="A27" s="170"/>
      <c r="B27" s="126" t="s">
        <v>39</v>
      </c>
      <c r="C27" s="16" t="s">
        <v>27</v>
      </c>
      <c r="D27" s="19">
        <v>64</v>
      </c>
      <c r="E27" s="19" t="str">
        <f t="shared" si="6"/>
        <v>FE3A0000</v>
      </c>
      <c r="F27" s="19" t="str">
        <f t="shared" si="7"/>
        <v>FE3AFFFF</v>
      </c>
      <c r="G27" s="19" t="s">
        <v>53</v>
      </c>
      <c r="H27" s="20" t="s">
        <v>41</v>
      </c>
      <c r="I27" s="45"/>
      <c r="J27" s="135" t="s">
        <v>42</v>
      </c>
      <c r="K27" s="41"/>
      <c r="L27" s="41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40"/>
    </row>
    <row r="28" spans="1:25" ht="15" customHeight="1">
      <c r="A28" s="170"/>
      <c r="B28" s="126" t="s">
        <v>39</v>
      </c>
      <c r="C28" s="16" t="s">
        <v>27</v>
      </c>
      <c r="D28" s="19">
        <v>64</v>
      </c>
      <c r="E28" s="19" t="str">
        <f t="shared" si="6"/>
        <v>FE390000</v>
      </c>
      <c r="F28" s="19" t="str">
        <f t="shared" si="7"/>
        <v>FE39FFFF</v>
      </c>
      <c r="G28" s="19" t="s">
        <v>53</v>
      </c>
      <c r="H28" s="20" t="s">
        <v>41</v>
      </c>
      <c r="I28" s="45"/>
      <c r="J28" s="135" t="s">
        <v>42</v>
      </c>
      <c r="K28" s="41"/>
      <c r="L28" s="41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40"/>
    </row>
    <row r="29" spans="1:25" ht="15" customHeight="1">
      <c r="A29" s="170"/>
      <c r="B29" s="126" t="s">
        <v>39</v>
      </c>
      <c r="C29" s="28" t="s">
        <v>54</v>
      </c>
      <c r="D29" s="27">
        <v>64</v>
      </c>
      <c r="E29" s="28" t="str">
        <f t="shared" si="6"/>
        <v>FE380000</v>
      </c>
      <c r="F29" s="28" t="str">
        <f t="shared" si="7"/>
        <v>FE38FFFF</v>
      </c>
      <c r="G29" s="27" t="s">
        <v>53</v>
      </c>
      <c r="H29" s="27" t="s">
        <v>41</v>
      </c>
      <c r="I29" s="36"/>
      <c r="J29" s="132" t="s">
        <v>42</v>
      </c>
      <c r="K29" s="41"/>
      <c r="L29" s="41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40"/>
    </row>
    <row r="30" spans="1:25" ht="15" customHeight="1">
      <c r="A30" s="170"/>
      <c r="B30" s="126" t="s">
        <v>39</v>
      </c>
      <c r="C30" s="16" t="s">
        <v>27</v>
      </c>
      <c r="D30" s="20">
        <v>64</v>
      </c>
      <c r="E30" s="19" t="str">
        <f t="shared" si="6"/>
        <v>FE370000</v>
      </c>
      <c r="F30" s="19" t="str">
        <f t="shared" si="7"/>
        <v>FE37FFFF</v>
      </c>
      <c r="G30" s="20" t="s">
        <v>53</v>
      </c>
      <c r="H30" s="20" t="s">
        <v>41</v>
      </c>
      <c r="I30" s="45"/>
      <c r="J30" s="135" t="s">
        <v>42</v>
      </c>
      <c r="K30" s="41"/>
      <c r="L30" s="41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</row>
    <row r="31" spans="1:25" ht="15" customHeight="1">
      <c r="A31" s="170"/>
      <c r="B31" s="126" t="s">
        <v>39</v>
      </c>
      <c r="C31" s="16" t="s">
        <v>27</v>
      </c>
      <c r="D31" s="19">
        <v>64</v>
      </c>
      <c r="E31" s="19" t="str">
        <f t="shared" si="6"/>
        <v>FE360000</v>
      </c>
      <c r="F31" s="19" t="str">
        <f t="shared" si="7"/>
        <v>FE36FFFF</v>
      </c>
      <c r="G31" s="19" t="s">
        <v>53</v>
      </c>
      <c r="H31" s="20" t="s">
        <v>41</v>
      </c>
      <c r="I31" s="45"/>
      <c r="J31" s="135" t="s">
        <v>42</v>
      </c>
      <c r="K31" s="41"/>
      <c r="L31" s="41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40"/>
    </row>
    <row r="32" spans="1:25" ht="15" customHeight="1">
      <c r="A32" s="170"/>
      <c r="B32" s="126" t="s">
        <v>39</v>
      </c>
      <c r="C32" s="16" t="s">
        <v>27</v>
      </c>
      <c r="D32" s="19">
        <v>64</v>
      </c>
      <c r="E32" s="19" t="str">
        <f t="shared" si="6"/>
        <v>FE350000</v>
      </c>
      <c r="F32" s="19" t="str">
        <f t="shared" si="7"/>
        <v>FE35FFFF</v>
      </c>
      <c r="G32" s="19" t="s">
        <v>53</v>
      </c>
      <c r="H32" s="20" t="s">
        <v>41</v>
      </c>
      <c r="I32" s="45"/>
      <c r="J32" s="135" t="s">
        <v>42</v>
      </c>
      <c r="K32" s="41"/>
      <c r="L32" s="41"/>
      <c r="M32" s="39"/>
      <c r="N32" s="39"/>
      <c r="O32" s="41"/>
      <c r="P32" s="39"/>
      <c r="Q32" s="39"/>
      <c r="R32" s="39"/>
      <c r="S32" s="39"/>
      <c r="T32" s="39"/>
      <c r="U32" s="39"/>
      <c r="V32" s="39"/>
      <c r="W32" s="39"/>
      <c r="X32" s="39"/>
      <c r="Y32" s="40"/>
    </row>
    <row r="33" spans="1:25" ht="15" customHeight="1">
      <c r="A33" s="170"/>
      <c r="B33" s="126" t="s">
        <v>39</v>
      </c>
      <c r="C33" s="16" t="s">
        <v>27</v>
      </c>
      <c r="D33" s="19">
        <v>64</v>
      </c>
      <c r="E33" s="19" t="str">
        <f t="shared" si="6"/>
        <v>FE340000</v>
      </c>
      <c r="F33" s="19" t="str">
        <f t="shared" si="7"/>
        <v>FE34FFFF</v>
      </c>
      <c r="G33" s="19" t="s">
        <v>53</v>
      </c>
      <c r="H33" s="20" t="s">
        <v>41</v>
      </c>
      <c r="I33" s="45"/>
      <c r="J33" s="135" t="s">
        <v>42</v>
      </c>
      <c r="K33" s="41"/>
      <c r="L33" s="41"/>
      <c r="M33" s="39"/>
      <c r="N33" s="39"/>
      <c r="O33" s="41"/>
      <c r="P33" s="39"/>
      <c r="Q33" s="39"/>
      <c r="R33" s="39"/>
      <c r="S33" s="39"/>
      <c r="T33" s="39"/>
      <c r="U33" s="39"/>
      <c r="V33" s="39"/>
      <c r="W33" s="39"/>
      <c r="X33" s="39"/>
      <c r="Y33" s="40"/>
    </row>
    <row r="34" spans="1:25" ht="15" customHeight="1">
      <c r="A34" s="170"/>
      <c r="B34" s="126" t="s">
        <v>39</v>
      </c>
      <c r="C34" s="16" t="s">
        <v>27</v>
      </c>
      <c r="D34" s="19">
        <v>64</v>
      </c>
      <c r="E34" s="19" t="str">
        <f t="shared" si="6"/>
        <v>FE330000</v>
      </c>
      <c r="F34" s="19" t="str">
        <f t="shared" si="7"/>
        <v>FE33FFFF</v>
      </c>
      <c r="G34" s="19" t="s">
        <v>53</v>
      </c>
      <c r="H34" s="20" t="s">
        <v>41</v>
      </c>
      <c r="I34" s="45"/>
      <c r="J34" s="135" t="s">
        <v>42</v>
      </c>
      <c r="K34" s="41"/>
      <c r="L34" s="41"/>
      <c r="M34" s="39"/>
      <c r="N34" s="39"/>
      <c r="O34" s="41"/>
      <c r="P34" s="39"/>
      <c r="Q34" s="39"/>
      <c r="R34" s="39"/>
      <c r="S34" s="39"/>
      <c r="T34" s="39"/>
      <c r="U34" s="39"/>
      <c r="V34" s="39"/>
      <c r="W34" s="39"/>
      <c r="X34" s="39"/>
      <c r="Y34" s="40"/>
    </row>
    <row r="35" spans="1:25" ht="15" customHeight="1">
      <c r="A35" s="170"/>
      <c r="B35" s="126" t="s">
        <v>39</v>
      </c>
      <c r="C35" s="19" t="s">
        <v>27</v>
      </c>
      <c r="D35" s="19">
        <v>64</v>
      </c>
      <c r="E35" s="19" t="str">
        <f t="shared" si="6"/>
        <v>FE320000</v>
      </c>
      <c r="F35" s="19" t="str">
        <f t="shared" si="7"/>
        <v>FE32FFFF</v>
      </c>
      <c r="G35" s="19" t="s">
        <v>53</v>
      </c>
      <c r="H35" s="20" t="s">
        <v>41</v>
      </c>
      <c r="I35" s="45"/>
      <c r="J35" s="135" t="s">
        <v>42</v>
      </c>
      <c r="K35" s="41"/>
      <c r="L35" s="41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40"/>
    </row>
    <row r="36" spans="1:25" ht="15" customHeight="1">
      <c r="A36" s="170"/>
      <c r="B36" s="126" t="s">
        <v>39</v>
      </c>
      <c r="C36" s="19" t="s">
        <v>27</v>
      </c>
      <c r="D36" s="19">
        <v>8</v>
      </c>
      <c r="E36" s="19" t="str">
        <f t="shared" ref="E36:E44" si="8">DEC2HEX(HEX2DEC(F36)-D36*1024+1)</f>
        <v>FE31E000</v>
      </c>
      <c r="F36" s="19" t="str">
        <f t="shared" ref="F36:F44" si="9">DEC2HEX(HEX2DEC(F35)-D35*1024)</f>
        <v>FE31FFFF</v>
      </c>
      <c r="G36" s="19" t="s">
        <v>55</v>
      </c>
      <c r="H36" s="20" t="s">
        <v>41</v>
      </c>
      <c r="I36" s="45"/>
      <c r="J36" s="135" t="s">
        <v>42</v>
      </c>
      <c r="K36" s="41"/>
      <c r="L36" s="41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40"/>
    </row>
    <row r="37" spans="1:25" ht="15" customHeight="1">
      <c r="A37" s="170"/>
      <c r="B37" s="126" t="s">
        <v>39</v>
      </c>
      <c r="C37" s="19" t="s">
        <v>27</v>
      </c>
      <c r="D37" s="19">
        <v>8</v>
      </c>
      <c r="E37" s="19" t="str">
        <f t="shared" si="8"/>
        <v>FE31C000</v>
      </c>
      <c r="F37" s="19" t="str">
        <f t="shared" si="9"/>
        <v>FE31DFFF</v>
      </c>
      <c r="G37" s="19" t="s">
        <v>55</v>
      </c>
      <c r="H37" s="20" t="s">
        <v>41</v>
      </c>
      <c r="I37" s="45"/>
      <c r="J37" s="135" t="s">
        <v>42</v>
      </c>
      <c r="K37" s="41"/>
      <c r="L37" s="41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40"/>
    </row>
    <row r="38" spans="1:25" ht="15" customHeight="1">
      <c r="A38" s="170"/>
      <c r="B38" s="126" t="s">
        <v>39</v>
      </c>
      <c r="C38" s="19" t="s">
        <v>27</v>
      </c>
      <c r="D38" s="19">
        <v>8</v>
      </c>
      <c r="E38" s="19" t="str">
        <f t="shared" si="8"/>
        <v>FE31A000</v>
      </c>
      <c r="F38" s="19" t="str">
        <f t="shared" si="9"/>
        <v>FE31BFFF</v>
      </c>
      <c r="G38" s="19" t="s">
        <v>55</v>
      </c>
      <c r="H38" s="20" t="s">
        <v>41</v>
      </c>
      <c r="I38" s="45"/>
      <c r="J38" s="135" t="s">
        <v>42</v>
      </c>
      <c r="K38" s="41"/>
      <c r="L38" s="41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40"/>
    </row>
    <row r="39" spans="1:25" ht="15" customHeight="1">
      <c r="A39" s="170"/>
      <c r="B39" s="126" t="s">
        <v>39</v>
      </c>
      <c r="C39" s="19" t="s">
        <v>27</v>
      </c>
      <c r="D39" s="19">
        <v>8</v>
      </c>
      <c r="E39" s="19" t="str">
        <f t="shared" si="8"/>
        <v>FE318000</v>
      </c>
      <c r="F39" s="19" t="str">
        <f t="shared" si="9"/>
        <v>FE319FFF</v>
      </c>
      <c r="G39" s="19" t="s">
        <v>55</v>
      </c>
      <c r="H39" s="20" t="s">
        <v>41</v>
      </c>
      <c r="I39" s="45"/>
      <c r="J39" s="135" t="s">
        <v>42</v>
      </c>
      <c r="K39" s="41"/>
      <c r="L39" s="41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40"/>
    </row>
    <row r="40" spans="1:25" ht="15" customHeight="1">
      <c r="A40" s="170"/>
      <c r="B40" s="126" t="s">
        <v>39</v>
      </c>
      <c r="C40" s="19" t="s">
        <v>27</v>
      </c>
      <c r="D40" s="19">
        <v>8</v>
      </c>
      <c r="E40" s="19" t="str">
        <f t="shared" si="8"/>
        <v>FE316000</v>
      </c>
      <c r="F40" s="19" t="str">
        <f t="shared" si="9"/>
        <v>FE317FFF</v>
      </c>
      <c r="G40" s="19" t="s">
        <v>55</v>
      </c>
      <c r="H40" s="20" t="s">
        <v>41</v>
      </c>
      <c r="I40" s="45"/>
      <c r="J40" s="135" t="s">
        <v>42</v>
      </c>
      <c r="K40" s="41"/>
      <c r="L40" s="41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40"/>
    </row>
    <row r="41" spans="1:25" ht="15" customHeight="1">
      <c r="A41" s="170"/>
      <c r="B41" s="126" t="s">
        <v>39</v>
      </c>
      <c r="C41" s="19" t="s">
        <v>27</v>
      </c>
      <c r="D41" s="19">
        <v>8</v>
      </c>
      <c r="E41" s="19" t="str">
        <f t="shared" si="8"/>
        <v>FE314000</v>
      </c>
      <c r="F41" s="19" t="str">
        <f t="shared" si="9"/>
        <v>FE315FFF</v>
      </c>
      <c r="G41" s="19" t="s">
        <v>55</v>
      </c>
      <c r="H41" s="20" t="s">
        <v>41</v>
      </c>
      <c r="I41" s="45"/>
      <c r="J41" s="135" t="s">
        <v>42</v>
      </c>
      <c r="K41" s="41"/>
      <c r="L41" s="41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40"/>
    </row>
    <row r="42" spans="1:25" ht="15" customHeight="1">
      <c r="A42" s="170"/>
      <c r="B42" s="126" t="s">
        <v>39</v>
      </c>
      <c r="C42" s="19" t="s">
        <v>27</v>
      </c>
      <c r="D42" s="19">
        <v>8</v>
      </c>
      <c r="E42" s="19" t="str">
        <f t="shared" si="8"/>
        <v>FE312000</v>
      </c>
      <c r="F42" s="19" t="str">
        <f t="shared" si="9"/>
        <v>FE313FFF</v>
      </c>
      <c r="G42" s="19" t="s">
        <v>55</v>
      </c>
      <c r="H42" s="20" t="s">
        <v>41</v>
      </c>
      <c r="I42" s="45"/>
      <c r="J42" s="135" t="s">
        <v>42</v>
      </c>
      <c r="K42" s="41"/>
      <c r="L42" s="41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40"/>
    </row>
    <row r="43" spans="1:25" ht="15" customHeight="1">
      <c r="A43" s="170"/>
      <c r="B43" s="126" t="s">
        <v>39</v>
      </c>
      <c r="C43" s="65" t="s">
        <v>56</v>
      </c>
      <c r="D43" s="65">
        <v>8</v>
      </c>
      <c r="E43" s="65" t="str">
        <f t="shared" si="8"/>
        <v>FE310000</v>
      </c>
      <c r="F43" s="65" t="str">
        <f t="shared" si="9"/>
        <v>FE311FFF</v>
      </c>
      <c r="G43" s="65" t="s">
        <v>55</v>
      </c>
      <c r="H43" s="66" t="s">
        <v>41</v>
      </c>
      <c r="I43" s="67"/>
      <c r="J43" s="136" t="s">
        <v>42</v>
      </c>
      <c r="K43" s="41"/>
      <c r="L43" s="41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40"/>
    </row>
    <row r="44" spans="1:25" ht="15" customHeight="1">
      <c r="A44" s="170"/>
      <c r="B44" s="126" t="s">
        <v>39</v>
      </c>
      <c r="C44" s="65" t="s">
        <v>57</v>
      </c>
      <c r="D44" s="65">
        <v>8</v>
      </c>
      <c r="E44" s="65" t="str">
        <f t="shared" si="8"/>
        <v>FE30E000</v>
      </c>
      <c r="F44" s="65" t="str">
        <f t="shared" si="9"/>
        <v>FE30FFFF</v>
      </c>
      <c r="G44" s="65" t="s">
        <v>55</v>
      </c>
      <c r="H44" s="66" t="s">
        <v>41</v>
      </c>
      <c r="I44" s="67"/>
      <c r="J44" s="136" t="s">
        <v>42</v>
      </c>
      <c r="K44" s="41"/>
      <c r="L44" s="41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40"/>
    </row>
    <row r="45" spans="1:25" ht="15" customHeight="1">
      <c r="A45" s="170"/>
      <c r="B45" s="126" t="s">
        <v>39</v>
      </c>
      <c r="C45" s="65" t="s">
        <v>58</v>
      </c>
      <c r="D45" s="65">
        <v>8</v>
      </c>
      <c r="E45" s="65" t="str">
        <f t="shared" ref="E45:E50" si="10">DEC2HEX(HEX2DEC(F45)-D45*1024+1)</f>
        <v>FE30C000</v>
      </c>
      <c r="F45" s="65" t="str">
        <f t="shared" ref="F45:F50" si="11">DEC2HEX(HEX2DEC(F44)-D44*1024)</f>
        <v>FE30DFFF</v>
      </c>
      <c r="G45" s="65" t="s">
        <v>55</v>
      </c>
      <c r="H45" s="66" t="s">
        <v>41</v>
      </c>
      <c r="I45" s="67"/>
      <c r="J45" s="136" t="s">
        <v>42</v>
      </c>
      <c r="K45" s="41"/>
      <c r="L45" s="133" t="s">
        <v>44</v>
      </c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40"/>
    </row>
    <row r="46" spans="1:25" ht="15" customHeight="1">
      <c r="A46" s="170"/>
      <c r="B46" s="126" t="s">
        <v>39</v>
      </c>
      <c r="C46" s="65" t="s">
        <v>59</v>
      </c>
      <c r="D46" s="65">
        <v>8</v>
      </c>
      <c r="E46" s="65" t="str">
        <f t="shared" si="10"/>
        <v>FE30A000</v>
      </c>
      <c r="F46" s="65" t="str">
        <f t="shared" si="11"/>
        <v>FE30BFFF</v>
      </c>
      <c r="G46" s="65" t="s">
        <v>55</v>
      </c>
      <c r="H46" s="66" t="s">
        <v>41</v>
      </c>
      <c r="I46" s="67"/>
      <c r="J46" s="136" t="s">
        <v>42</v>
      </c>
      <c r="K46" s="41"/>
      <c r="L46" s="133" t="s">
        <v>44</v>
      </c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40"/>
    </row>
    <row r="47" spans="1:25" ht="15" customHeight="1">
      <c r="A47" s="170"/>
      <c r="B47" s="126" t="s">
        <v>39</v>
      </c>
      <c r="C47" s="65" t="s">
        <v>60</v>
      </c>
      <c r="D47" s="65">
        <v>8</v>
      </c>
      <c r="E47" s="65" t="str">
        <f t="shared" si="10"/>
        <v>FE308000</v>
      </c>
      <c r="F47" s="65" t="str">
        <f t="shared" si="11"/>
        <v>FE309FFF</v>
      </c>
      <c r="G47" s="65" t="s">
        <v>55</v>
      </c>
      <c r="H47" s="66" t="s">
        <v>41</v>
      </c>
      <c r="I47" s="67"/>
      <c r="J47" s="136" t="s">
        <v>42</v>
      </c>
      <c r="K47" s="41"/>
      <c r="L47" s="133" t="s">
        <v>44</v>
      </c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40"/>
    </row>
    <row r="48" spans="1:25" ht="15" customHeight="1">
      <c r="A48" s="170"/>
      <c r="B48" s="126" t="s">
        <v>39</v>
      </c>
      <c r="C48" s="65" t="s">
        <v>61</v>
      </c>
      <c r="D48" s="65">
        <v>8</v>
      </c>
      <c r="E48" s="65" t="str">
        <f t="shared" si="10"/>
        <v>FE306000</v>
      </c>
      <c r="F48" s="65" t="str">
        <f t="shared" si="11"/>
        <v>FE307FFF</v>
      </c>
      <c r="G48" s="65" t="s">
        <v>55</v>
      </c>
      <c r="H48" s="66" t="s">
        <v>41</v>
      </c>
      <c r="I48" s="67"/>
      <c r="J48" s="136" t="s">
        <v>42</v>
      </c>
      <c r="K48" s="41"/>
      <c r="L48" s="133" t="s">
        <v>44</v>
      </c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40"/>
    </row>
    <row r="49" spans="1:25" ht="15" customHeight="1">
      <c r="A49" s="170"/>
      <c r="B49" s="126" t="s">
        <v>39</v>
      </c>
      <c r="C49" s="28" t="s">
        <v>62</v>
      </c>
      <c r="D49" s="28">
        <v>8</v>
      </c>
      <c r="E49" s="28" t="str">
        <f t="shared" si="10"/>
        <v>FE304000</v>
      </c>
      <c r="F49" s="28" t="str">
        <f t="shared" si="11"/>
        <v>FE305FFF</v>
      </c>
      <c r="G49" s="28" t="s">
        <v>55</v>
      </c>
      <c r="H49" s="27" t="s">
        <v>41</v>
      </c>
      <c r="I49" s="36"/>
      <c r="J49" s="132" t="s">
        <v>42</v>
      </c>
      <c r="K49" s="41"/>
      <c r="L49" s="133" t="s">
        <v>44</v>
      </c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40"/>
    </row>
    <row r="50" spans="1:25" ht="15" customHeight="1">
      <c r="A50" s="170"/>
      <c r="B50" s="126" t="s">
        <v>39</v>
      </c>
      <c r="C50" s="28" t="s">
        <v>63</v>
      </c>
      <c r="D50" s="28">
        <v>8</v>
      </c>
      <c r="E50" s="28" t="str">
        <f t="shared" si="10"/>
        <v>FE302000</v>
      </c>
      <c r="F50" s="28" t="str">
        <f t="shared" si="11"/>
        <v>FE303FFF</v>
      </c>
      <c r="G50" s="28" t="s">
        <v>55</v>
      </c>
      <c r="H50" s="27" t="s">
        <v>41</v>
      </c>
      <c r="I50" s="36"/>
      <c r="J50" s="132" t="s">
        <v>42</v>
      </c>
      <c r="K50" s="41"/>
      <c r="L50" s="133" t="s">
        <v>44</v>
      </c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40"/>
    </row>
    <row r="51" spans="1:25" ht="15" customHeight="1">
      <c r="A51" s="170"/>
      <c r="B51" s="127" t="s">
        <v>39</v>
      </c>
      <c r="C51" s="100" t="s">
        <v>64</v>
      </c>
      <c r="D51" s="100">
        <v>8</v>
      </c>
      <c r="E51" s="100" t="str">
        <f t="shared" ref="E51" si="12">DEC2HEX(HEX2DEC(F51)-D51*1024+1)</f>
        <v>FE300000</v>
      </c>
      <c r="F51" s="100" t="str">
        <f t="shared" ref="F51" si="13">DEC2HEX(HEX2DEC(F50)-D50*1024)</f>
        <v>FE301FFF</v>
      </c>
      <c r="G51" s="100" t="s">
        <v>55</v>
      </c>
      <c r="H51" s="101" t="s">
        <v>41</v>
      </c>
      <c r="I51" s="102"/>
      <c r="J51" s="132" t="s">
        <v>42</v>
      </c>
      <c r="K51" s="41"/>
      <c r="L51" s="133" t="s">
        <v>44</v>
      </c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40"/>
    </row>
    <row r="52" spans="1:25" ht="15" customHeight="1">
      <c r="A52" s="170"/>
      <c r="B52" s="128" t="s">
        <v>39</v>
      </c>
      <c r="C52" s="85" t="s">
        <v>27</v>
      </c>
      <c r="D52" s="86">
        <f>1024*3-8*96</f>
        <v>2304</v>
      </c>
      <c r="E52" s="86" t="str">
        <f t="shared" si="6"/>
        <v>FE0C0000</v>
      </c>
      <c r="F52" s="86" t="str">
        <f t="shared" si="7"/>
        <v>FE2FFFFF</v>
      </c>
      <c r="G52" s="86" t="s">
        <v>65</v>
      </c>
      <c r="H52" s="86"/>
      <c r="I52" s="87"/>
      <c r="J52" s="137" t="s">
        <v>66</v>
      </c>
      <c r="K52" s="41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40"/>
    </row>
    <row r="53" spans="1:25" ht="15" customHeight="1">
      <c r="A53" s="170"/>
      <c r="B53" s="129" t="s">
        <v>39</v>
      </c>
      <c r="C53" s="20" t="s">
        <v>27</v>
      </c>
      <c r="D53" s="19">
        <v>8</v>
      </c>
      <c r="E53" s="19" t="str">
        <f t="shared" si="6"/>
        <v>FE0BE000</v>
      </c>
      <c r="F53" s="19" t="str">
        <f t="shared" si="7"/>
        <v>FE0BFFFF</v>
      </c>
      <c r="G53" s="20" t="s">
        <v>67</v>
      </c>
      <c r="H53" s="20">
        <v>95</v>
      </c>
      <c r="I53" s="45" t="s">
        <v>68</v>
      </c>
      <c r="J53" s="88" t="s">
        <v>66</v>
      </c>
      <c r="K53" s="41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40"/>
    </row>
    <row r="54" spans="1:25" ht="15" customHeight="1">
      <c r="A54" s="170"/>
      <c r="B54" s="129" t="s">
        <v>39</v>
      </c>
      <c r="C54" s="20" t="s">
        <v>27</v>
      </c>
      <c r="D54" s="19">
        <v>8</v>
      </c>
      <c r="E54" s="19" t="str">
        <f>DEC2HEX(HEX2DEC(F54)-D54*1024+1)</f>
        <v>FE0BC000</v>
      </c>
      <c r="F54" s="19" t="str">
        <f t="shared" si="7"/>
        <v>FE0BDFFF</v>
      </c>
      <c r="G54" s="20" t="s">
        <v>69</v>
      </c>
      <c r="H54" s="20">
        <v>94</v>
      </c>
      <c r="I54" s="45" t="s">
        <v>70</v>
      </c>
      <c r="J54" s="88" t="s">
        <v>66</v>
      </c>
      <c r="K54" s="41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40"/>
    </row>
    <row r="55" spans="1:25" ht="15" customHeight="1">
      <c r="A55" s="170"/>
      <c r="B55" s="129" t="s">
        <v>39</v>
      </c>
      <c r="C55" s="20" t="s">
        <v>27</v>
      </c>
      <c r="D55" s="20">
        <v>8</v>
      </c>
      <c r="E55" s="19" t="str">
        <f t="shared" si="6"/>
        <v>FE0BA000</v>
      </c>
      <c r="F55" s="19" t="str">
        <f t="shared" si="7"/>
        <v>FE0BBFFF</v>
      </c>
      <c r="G55" s="20" t="s">
        <v>71</v>
      </c>
      <c r="H55" s="20">
        <v>93</v>
      </c>
      <c r="I55" s="45" t="s">
        <v>72</v>
      </c>
      <c r="J55" s="88" t="s">
        <v>66</v>
      </c>
      <c r="K55" s="41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40"/>
    </row>
    <row r="56" spans="1:25" ht="15" customHeight="1">
      <c r="A56" s="170"/>
      <c r="B56" s="129" t="s">
        <v>39</v>
      </c>
      <c r="C56" s="20" t="s">
        <v>27</v>
      </c>
      <c r="D56" s="20">
        <v>8</v>
      </c>
      <c r="E56" s="19" t="str">
        <f t="shared" si="6"/>
        <v>FE0B8000</v>
      </c>
      <c r="F56" s="19" t="str">
        <f t="shared" si="7"/>
        <v>FE0B9FFF</v>
      </c>
      <c r="G56" s="20" t="s">
        <v>73</v>
      </c>
      <c r="H56" s="20">
        <v>92</v>
      </c>
      <c r="I56" s="45" t="s">
        <v>74</v>
      </c>
      <c r="J56" s="88" t="s">
        <v>66</v>
      </c>
      <c r="K56" s="41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40"/>
    </row>
    <row r="57" spans="1:25" ht="15" customHeight="1">
      <c r="A57" s="170"/>
      <c r="B57" s="129" t="s">
        <v>39</v>
      </c>
      <c r="C57" s="20" t="s">
        <v>27</v>
      </c>
      <c r="D57" s="20">
        <v>8</v>
      </c>
      <c r="E57" s="19" t="str">
        <f t="shared" si="6"/>
        <v>FE0B6000</v>
      </c>
      <c r="F57" s="19" t="str">
        <f t="shared" si="7"/>
        <v>FE0B7FFF</v>
      </c>
      <c r="G57" s="20" t="s">
        <v>75</v>
      </c>
      <c r="H57" s="20">
        <v>91</v>
      </c>
      <c r="I57" s="45" t="s">
        <v>76</v>
      </c>
      <c r="J57" s="88" t="s">
        <v>66</v>
      </c>
      <c r="K57" s="41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40"/>
    </row>
    <row r="58" spans="1:25" ht="15" customHeight="1">
      <c r="A58" s="170"/>
      <c r="B58" s="129" t="s">
        <v>39</v>
      </c>
      <c r="C58" s="20" t="s">
        <v>27</v>
      </c>
      <c r="D58" s="20">
        <v>8</v>
      </c>
      <c r="E58" s="19" t="str">
        <f t="shared" si="6"/>
        <v>FE0B4000</v>
      </c>
      <c r="F58" s="19" t="str">
        <f t="shared" si="7"/>
        <v>FE0B5FFF</v>
      </c>
      <c r="G58" s="20" t="s">
        <v>77</v>
      </c>
      <c r="H58" s="20">
        <v>90</v>
      </c>
      <c r="I58" s="45" t="s">
        <v>78</v>
      </c>
      <c r="J58" s="88" t="s">
        <v>66</v>
      </c>
      <c r="K58" s="41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40"/>
    </row>
    <row r="59" spans="1:25" ht="15" customHeight="1">
      <c r="A59" s="170"/>
      <c r="B59" s="129" t="s">
        <v>39</v>
      </c>
      <c r="C59" s="20" t="s">
        <v>27</v>
      </c>
      <c r="D59" s="20">
        <v>8</v>
      </c>
      <c r="E59" s="19" t="str">
        <f t="shared" si="6"/>
        <v>FE0B2000</v>
      </c>
      <c r="F59" s="19" t="str">
        <f t="shared" si="7"/>
        <v>FE0B3FFF</v>
      </c>
      <c r="G59" s="20" t="s">
        <v>79</v>
      </c>
      <c r="H59" s="20">
        <v>89</v>
      </c>
      <c r="I59" s="45">
        <v>59</v>
      </c>
      <c r="J59" s="88" t="s">
        <v>66</v>
      </c>
      <c r="K59" s="41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40"/>
    </row>
    <row r="60" spans="1:25" ht="15" customHeight="1">
      <c r="A60" s="170"/>
      <c r="B60" s="130" t="s">
        <v>80</v>
      </c>
      <c r="C60" s="27" t="s">
        <v>81</v>
      </c>
      <c r="D60" s="27">
        <v>8</v>
      </c>
      <c r="E60" s="28" t="str">
        <f t="shared" si="6"/>
        <v>FE0B0000</v>
      </c>
      <c r="F60" s="28" t="str">
        <f t="shared" si="7"/>
        <v>FE0B1FFF</v>
      </c>
      <c r="G60" s="27" t="s">
        <v>82</v>
      </c>
      <c r="H60" s="27">
        <v>88</v>
      </c>
      <c r="I60" s="36">
        <v>58</v>
      </c>
      <c r="J60" s="89" t="s">
        <v>66</v>
      </c>
      <c r="K60" s="111" t="s">
        <v>83</v>
      </c>
      <c r="L60" s="109" t="s">
        <v>51</v>
      </c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40"/>
    </row>
    <row r="61" spans="1:25" ht="15" customHeight="1">
      <c r="A61" s="170"/>
      <c r="B61" s="129" t="s">
        <v>39</v>
      </c>
      <c r="C61" s="20" t="s">
        <v>27</v>
      </c>
      <c r="D61" s="19">
        <v>8</v>
      </c>
      <c r="E61" s="19" t="str">
        <f t="shared" si="6"/>
        <v>FE0AE000</v>
      </c>
      <c r="F61" s="19" t="str">
        <f t="shared" si="7"/>
        <v>FE0AFFFF</v>
      </c>
      <c r="G61" s="20" t="s">
        <v>84</v>
      </c>
      <c r="H61" s="20">
        <v>87</v>
      </c>
      <c r="I61" s="45">
        <v>57</v>
      </c>
      <c r="J61" s="88" t="s">
        <v>66</v>
      </c>
      <c r="K61" s="41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40"/>
    </row>
    <row r="62" spans="1:25" ht="15" customHeight="1">
      <c r="A62" s="170"/>
      <c r="B62" s="129" t="s">
        <v>39</v>
      </c>
      <c r="C62" s="20" t="s">
        <v>27</v>
      </c>
      <c r="D62" s="19">
        <v>8</v>
      </c>
      <c r="E62" s="19" t="str">
        <f t="shared" si="6"/>
        <v>FE0AC000</v>
      </c>
      <c r="F62" s="19" t="str">
        <f t="shared" si="7"/>
        <v>FE0ADFFF</v>
      </c>
      <c r="G62" s="20" t="s">
        <v>85</v>
      </c>
      <c r="H62" s="20">
        <v>86</v>
      </c>
      <c r="I62" s="45">
        <v>56</v>
      </c>
      <c r="J62" s="88" t="s">
        <v>66</v>
      </c>
      <c r="K62" s="41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40"/>
    </row>
    <row r="63" spans="1:25" ht="15" customHeight="1">
      <c r="A63" s="170"/>
      <c r="B63" s="129" t="s">
        <v>39</v>
      </c>
      <c r="C63" s="20" t="s">
        <v>27</v>
      </c>
      <c r="D63" s="19">
        <v>8</v>
      </c>
      <c r="E63" s="19" t="str">
        <f t="shared" si="6"/>
        <v>FE0AA000</v>
      </c>
      <c r="F63" s="19" t="str">
        <f t="shared" si="7"/>
        <v>FE0ABFFF</v>
      </c>
      <c r="G63" s="20" t="s">
        <v>86</v>
      </c>
      <c r="H63" s="20">
        <v>85</v>
      </c>
      <c r="I63" s="45">
        <v>55</v>
      </c>
      <c r="J63" s="88" t="s">
        <v>66</v>
      </c>
      <c r="K63" s="41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40"/>
    </row>
    <row r="64" spans="1:25" ht="15" customHeight="1">
      <c r="A64" s="170"/>
      <c r="B64" s="129" t="s">
        <v>39</v>
      </c>
      <c r="C64" s="20" t="s">
        <v>27</v>
      </c>
      <c r="D64" s="19">
        <v>8</v>
      </c>
      <c r="E64" s="19" t="str">
        <f t="shared" si="6"/>
        <v>FE0A8000</v>
      </c>
      <c r="F64" s="19" t="str">
        <f t="shared" si="7"/>
        <v>FE0A9FFF</v>
      </c>
      <c r="G64" s="20" t="s">
        <v>87</v>
      </c>
      <c r="H64" s="20">
        <v>84</v>
      </c>
      <c r="I64" s="45">
        <v>54</v>
      </c>
      <c r="J64" s="88" t="s">
        <v>66</v>
      </c>
      <c r="K64" s="41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40"/>
    </row>
    <row r="65" spans="1:25" ht="15" customHeight="1">
      <c r="A65" s="170"/>
      <c r="B65" s="129" t="s">
        <v>39</v>
      </c>
      <c r="C65" s="19" t="s">
        <v>27</v>
      </c>
      <c r="D65" s="19">
        <v>8</v>
      </c>
      <c r="E65" s="19" t="str">
        <f t="shared" si="6"/>
        <v>FE0A6000</v>
      </c>
      <c r="F65" s="19" t="str">
        <f t="shared" si="7"/>
        <v>FE0A7FFF</v>
      </c>
      <c r="G65" s="20" t="s">
        <v>88</v>
      </c>
      <c r="H65" s="20">
        <v>83</v>
      </c>
      <c r="I65" s="45">
        <v>53</v>
      </c>
      <c r="J65" s="88" t="s">
        <v>66</v>
      </c>
      <c r="K65" s="41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40"/>
    </row>
    <row r="66" spans="1:25" ht="15" customHeight="1">
      <c r="A66" s="170"/>
      <c r="B66" s="129" t="s">
        <v>39</v>
      </c>
      <c r="C66" s="19" t="s">
        <v>27</v>
      </c>
      <c r="D66" s="19">
        <v>8</v>
      </c>
      <c r="E66" s="19" t="str">
        <f t="shared" si="6"/>
        <v>FE0A4000</v>
      </c>
      <c r="F66" s="19" t="str">
        <f t="shared" si="7"/>
        <v>FE0A5FFF</v>
      </c>
      <c r="G66" s="20" t="s">
        <v>89</v>
      </c>
      <c r="H66" s="20">
        <v>82</v>
      </c>
      <c r="I66" s="45">
        <v>52</v>
      </c>
      <c r="J66" s="88" t="s">
        <v>66</v>
      </c>
      <c r="K66" s="41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40"/>
    </row>
    <row r="67" spans="1:25" ht="15" customHeight="1">
      <c r="A67" s="170"/>
      <c r="B67" s="129" t="s">
        <v>39</v>
      </c>
      <c r="C67" s="19" t="s">
        <v>27</v>
      </c>
      <c r="D67" s="19">
        <v>8</v>
      </c>
      <c r="E67" s="19" t="str">
        <f t="shared" si="6"/>
        <v>FE0A2000</v>
      </c>
      <c r="F67" s="19" t="str">
        <f t="shared" si="7"/>
        <v>FE0A3FFF</v>
      </c>
      <c r="G67" s="20" t="s">
        <v>90</v>
      </c>
      <c r="H67" s="20">
        <v>81</v>
      </c>
      <c r="I67" s="45">
        <v>51</v>
      </c>
      <c r="J67" s="88" t="s">
        <v>66</v>
      </c>
      <c r="K67" s="41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</row>
    <row r="68" spans="1:25" ht="15" customHeight="1">
      <c r="A68" s="170"/>
      <c r="B68" s="129" t="s">
        <v>39</v>
      </c>
      <c r="C68" s="19" t="s">
        <v>27</v>
      </c>
      <c r="D68" s="19">
        <v>8</v>
      </c>
      <c r="E68" s="19" t="str">
        <f t="shared" si="6"/>
        <v>FE0A0000</v>
      </c>
      <c r="F68" s="19" t="str">
        <f t="shared" si="7"/>
        <v>FE0A1FFF</v>
      </c>
      <c r="G68" s="20" t="s">
        <v>91</v>
      </c>
      <c r="H68" s="20">
        <v>80</v>
      </c>
      <c r="I68" s="45">
        <v>50</v>
      </c>
      <c r="J68" s="88" t="s">
        <v>66</v>
      </c>
      <c r="K68" s="41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40"/>
    </row>
    <row r="69" spans="1:25" ht="15" customHeight="1">
      <c r="A69" s="170"/>
      <c r="B69" s="129" t="s">
        <v>39</v>
      </c>
      <c r="C69" s="19" t="s">
        <v>27</v>
      </c>
      <c r="D69" s="19">
        <v>8</v>
      </c>
      <c r="E69" s="19" t="str">
        <f t="shared" si="6"/>
        <v>FE09E000</v>
      </c>
      <c r="F69" s="19" t="str">
        <f t="shared" si="7"/>
        <v>FE09FFFF</v>
      </c>
      <c r="G69" s="19" t="s">
        <v>92</v>
      </c>
      <c r="H69" s="19">
        <v>79</v>
      </c>
      <c r="I69" s="44" t="str">
        <f t="shared" ref="I69:I132" si="14">DEC2HEX(H69)</f>
        <v>4F</v>
      </c>
      <c r="J69" s="88" t="s">
        <v>66</v>
      </c>
      <c r="K69" s="41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</row>
    <row r="70" spans="1:25" ht="15" customHeight="1">
      <c r="A70" s="170"/>
      <c r="B70" s="130" t="s">
        <v>93</v>
      </c>
      <c r="C70" s="28" t="s">
        <v>94</v>
      </c>
      <c r="D70" s="28">
        <v>8</v>
      </c>
      <c r="E70" s="28" t="str">
        <f t="shared" si="6"/>
        <v>FE09C000</v>
      </c>
      <c r="F70" s="28" t="str">
        <f t="shared" si="7"/>
        <v>FE09DFFF</v>
      </c>
      <c r="G70" s="28" t="s">
        <v>95</v>
      </c>
      <c r="H70" s="28">
        <v>78</v>
      </c>
      <c r="I70" s="46" t="str">
        <f t="shared" si="14"/>
        <v>4E</v>
      </c>
      <c r="J70" s="90" t="s">
        <v>66</v>
      </c>
      <c r="K70" s="111" t="s">
        <v>83</v>
      </c>
      <c r="L70" s="109" t="s">
        <v>51</v>
      </c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40"/>
    </row>
    <row r="71" spans="1:25" ht="15" customHeight="1">
      <c r="A71" s="170"/>
      <c r="B71" s="129" t="s">
        <v>39</v>
      </c>
      <c r="C71" s="20" t="s">
        <v>27</v>
      </c>
      <c r="D71" s="19">
        <v>8</v>
      </c>
      <c r="E71" s="19" t="str">
        <f t="shared" si="6"/>
        <v>FE09A000</v>
      </c>
      <c r="F71" s="19" t="str">
        <f t="shared" si="7"/>
        <v>FE09BFFF</v>
      </c>
      <c r="G71" s="19" t="s">
        <v>96</v>
      </c>
      <c r="H71" s="19">
        <v>77</v>
      </c>
      <c r="I71" s="44" t="str">
        <f t="shared" si="14"/>
        <v>4D</v>
      </c>
      <c r="J71" s="88" t="s">
        <v>66</v>
      </c>
      <c r="K71" s="41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</row>
    <row r="72" spans="1:25" ht="15" customHeight="1">
      <c r="A72" s="170"/>
      <c r="B72" s="129" t="s">
        <v>39</v>
      </c>
      <c r="C72" s="20" t="s">
        <v>27</v>
      </c>
      <c r="D72" s="19">
        <v>8</v>
      </c>
      <c r="E72" s="19" t="str">
        <f t="shared" si="6"/>
        <v>FE098000</v>
      </c>
      <c r="F72" s="19" t="str">
        <f t="shared" si="7"/>
        <v>FE099FFF</v>
      </c>
      <c r="G72" s="19" t="s">
        <v>97</v>
      </c>
      <c r="H72" s="19">
        <v>76</v>
      </c>
      <c r="I72" s="44" t="str">
        <f t="shared" si="14"/>
        <v>4C</v>
      </c>
      <c r="J72" s="88" t="s">
        <v>66</v>
      </c>
      <c r="K72" s="41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</row>
    <row r="73" spans="1:25" ht="15" customHeight="1">
      <c r="A73" s="170"/>
      <c r="B73" s="129" t="s">
        <v>39</v>
      </c>
      <c r="C73" s="20" t="s">
        <v>27</v>
      </c>
      <c r="D73" s="19">
        <v>8</v>
      </c>
      <c r="E73" s="19" t="str">
        <f t="shared" si="6"/>
        <v>FE096000</v>
      </c>
      <c r="F73" s="19" t="str">
        <f t="shared" si="7"/>
        <v>FE097FFF</v>
      </c>
      <c r="G73" s="19" t="s">
        <v>98</v>
      </c>
      <c r="H73" s="19">
        <v>75</v>
      </c>
      <c r="I73" s="44" t="str">
        <f t="shared" si="14"/>
        <v>4B</v>
      </c>
      <c r="J73" s="88" t="s">
        <v>66</v>
      </c>
      <c r="K73" s="41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</row>
    <row r="74" spans="1:25" ht="15" customHeight="1">
      <c r="A74" s="170"/>
      <c r="B74" s="129" t="s">
        <v>39</v>
      </c>
      <c r="C74" s="20" t="s">
        <v>27</v>
      </c>
      <c r="D74" s="19">
        <v>8</v>
      </c>
      <c r="E74" s="19" t="str">
        <f t="shared" si="6"/>
        <v>FE094000</v>
      </c>
      <c r="F74" s="19" t="str">
        <f t="shared" si="7"/>
        <v>FE095FFF</v>
      </c>
      <c r="G74" s="19" t="s">
        <v>99</v>
      </c>
      <c r="H74" s="19">
        <v>74</v>
      </c>
      <c r="I74" s="44" t="str">
        <f t="shared" si="14"/>
        <v>4A</v>
      </c>
      <c r="J74" s="88" t="s">
        <v>66</v>
      </c>
      <c r="K74" s="41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</row>
    <row r="75" spans="1:25" ht="15" customHeight="1">
      <c r="A75" s="170"/>
      <c r="B75" s="129" t="s">
        <v>39</v>
      </c>
      <c r="C75" s="20" t="s">
        <v>27</v>
      </c>
      <c r="D75" s="19">
        <v>8</v>
      </c>
      <c r="E75" s="19" t="str">
        <f t="shared" si="6"/>
        <v>FE092000</v>
      </c>
      <c r="F75" s="19" t="str">
        <f t="shared" si="7"/>
        <v>FE093FFF</v>
      </c>
      <c r="G75" s="19" t="s">
        <v>100</v>
      </c>
      <c r="H75" s="19">
        <v>73</v>
      </c>
      <c r="I75" s="44" t="str">
        <f t="shared" si="14"/>
        <v>49</v>
      </c>
      <c r="J75" s="88" t="s">
        <v>66</v>
      </c>
      <c r="K75" s="41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40"/>
    </row>
    <row r="76" spans="1:25" ht="15" customHeight="1">
      <c r="A76" s="170"/>
      <c r="B76" s="129" t="s">
        <v>39</v>
      </c>
      <c r="C76" s="20" t="s">
        <v>27</v>
      </c>
      <c r="D76" s="19">
        <v>8</v>
      </c>
      <c r="E76" s="19" t="str">
        <f t="shared" si="6"/>
        <v>FE090000</v>
      </c>
      <c r="F76" s="19" t="str">
        <f t="shared" si="7"/>
        <v>FE091FFF</v>
      </c>
      <c r="G76" s="19" t="s">
        <v>101</v>
      </c>
      <c r="H76" s="19">
        <v>72</v>
      </c>
      <c r="I76" s="44" t="str">
        <f t="shared" si="14"/>
        <v>48</v>
      </c>
      <c r="J76" s="88" t="s">
        <v>66</v>
      </c>
      <c r="K76" s="41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40"/>
    </row>
    <row r="77" spans="1:25" ht="15" customHeight="1">
      <c r="A77" s="170"/>
      <c r="B77" s="129" t="s">
        <v>39</v>
      </c>
      <c r="C77" s="20" t="s">
        <v>27</v>
      </c>
      <c r="D77" s="19">
        <v>8</v>
      </c>
      <c r="E77" s="19" t="str">
        <f t="shared" si="6"/>
        <v>FE08E000</v>
      </c>
      <c r="F77" s="19" t="str">
        <f t="shared" si="7"/>
        <v>FE08FFFF</v>
      </c>
      <c r="G77" s="19" t="s">
        <v>102</v>
      </c>
      <c r="H77" s="19">
        <v>71</v>
      </c>
      <c r="I77" s="44" t="str">
        <f t="shared" si="14"/>
        <v>47</v>
      </c>
      <c r="J77" s="88" t="s">
        <v>66</v>
      </c>
      <c r="K77" s="41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40"/>
    </row>
    <row r="78" spans="1:25" ht="15" customHeight="1">
      <c r="A78" s="170"/>
      <c r="B78" s="129" t="s">
        <v>39</v>
      </c>
      <c r="C78" s="20" t="s">
        <v>27</v>
      </c>
      <c r="D78" s="19">
        <v>8</v>
      </c>
      <c r="E78" s="19" t="str">
        <f t="shared" si="6"/>
        <v>FE08C000</v>
      </c>
      <c r="F78" s="19" t="str">
        <f t="shared" si="7"/>
        <v>FE08DFFF</v>
      </c>
      <c r="G78" s="19" t="s">
        <v>103</v>
      </c>
      <c r="H78" s="19">
        <v>70</v>
      </c>
      <c r="I78" s="44" t="str">
        <f t="shared" si="14"/>
        <v>46</v>
      </c>
      <c r="J78" s="88" t="s">
        <v>66</v>
      </c>
      <c r="K78" s="41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40"/>
    </row>
    <row r="79" spans="1:25" ht="15" customHeight="1">
      <c r="A79" s="170"/>
      <c r="B79" s="129" t="s">
        <v>39</v>
      </c>
      <c r="C79" s="20" t="s">
        <v>27</v>
      </c>
      <c r="D79" s="20">
        <v>8</v>
      </c>
      <c r="E79" s="19" t="str">
        <f t="shared" si="6"/>
        <v>FE08A000</v>
      </c>
      <c r="F79" s="19" t="str">
        <f t="shared" si="7"/>
        <v>FE08BFFF</v>
      </c>
      <c r="G79" s="20" t="s">
        <v>104</v>
      </c>
      <c r="H79" s="19">
        <v>69</v>
      </c>
      <c r="I79" s="44" t="str">
        <f t="shared" si="14"/>
        <v>45</v>
      </c>
      <c r="J79" s="88" t="s">
        <v>66</v>
      </c>
      <c r="K79" s="41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40"/>
    </row>
    <row r="80" spans="1:25" ht="15" customHeight="1">
      <c r="A80" s="170"/>
      <c r="B80" s="129" t="s">
        <v>39</v>
      </c>
      <c r="C80" s="20" t="s">
        <v>27</v>
      </c>
      <c r="D80" s="20">
        <v>8</v>
      </c>
      <c r="E80" s="19" t="str">
        <f t="shared" si="6"/>
        <v>FE088000</v>
      </c>
      <c r="F80" s="19" t="str">
        <f t="shared" si="7"/>
        <v>FE089FFF</v>
      </c>
      <c r="G80" s="20" t="s">
        <v>105</v>
      </c>
      <c r="H80" s="19">
        <v>68</v>
      </c>
      <c r="I80" s="44" t="str">
        <f t="shared" si="14"/>
        <v>44</v>
      </c>
      <c r="J80" s="88" t="s">
        <v>66</v>
      </c>
      <c r="K80" s="41"/>
      <c r="L80" s="41"/>
      <c r="M80" s="41"/>
      <c r="N80" s="41"/>
      <c r="O80" s="41"/>
      <c r="P80" s="39"/>
      <c r="Q80" s="39"/>
      <c r="R80" s="39"/>
      <c r="S80" s="39"/>
      <c r="T80" s="39"/>
      <c r="U80" s="39"/>
      <c r="V80" s="39"/>
      <c r="W80" s="39"/>
      <c r="X80" s="39"/>
      <c r="Y80" s="40"/>
    </row>
    <row r="81" spans="1:25" ht="15" customHeight="1">
      <c r="A81" s="170"/>
      <c r="B81" s="129" t="s">
        <v>39</v>
      </c>
      <c r="C81" s="20" t="s">
        <v>27</v>
      </c>
      <c r="D81" s="20">
        <v>8</v>
      </c>
      <c r="E81" s="19" t="str">
        <f t="shared" si="6"/>
        <v>FE086000</v>
      </c>
      <c r="F81" s="19" t="str">
        <f t="shared" si="7"/>
        <v>FE087FFF</v>
      </c>
      <c r="G81" s="20" t="s">
        <v>106</v>
      </c>
      <c r="H81" s="19">
        <v>67</v>
      </c>
      <c r="I81" s="44" t="str">
        <f t="shared" si="14"/>
        <v>43</v>
      </c>
      <c r="J81" s="88" t="s">
        <v>66</v>
      </c>
      <c r="K81" s="41"/>
      <c r="L81" s="41"/>
      <c r="M81" s="41"/>
      <c r="N81" s="41"/>
      <c r="O81" s="41"/>
      <c r="P81" s="41"/>
      <c r="Q81" s="39"/>
      <c r="R81" s="39"/>
      <c r="S81" s="39"/>
      <c r="T81" s="39"/>
      <c r="U81" s="39"/>
      <c r="V81" s="39"/>
      <c r="W81" s="39"/>
      <c r="X81" s="39"/>
      <c r="Y81" s="40"/>
    </row>
    <row r="82" spans="1:25" ht="15" customHeight="1">
      <c r="A82" s="170"/>
      <c r="B82" s="129" t="s">
        <v>39</v>
      </c>
      <c r="C82" s="20" t="s">
        <v>27</v>
      </c>
      <c r="D82" s="19">
        <v>8</v>
      </c>
      <c r="E82" s="19" t="str">
        <f t="shared" si="6"/>
        <v>FE084000</v>
      </c>
      <c r="F82" s="19" t="str">
        <f t="shared" si="7"/>
        <v>FE085FFF</v>
      </c>
      <c r="G82" s="19" t="s">
        <v>107</v>
      </c>
      <c r="H82" s="19">
        <v>66</v>
      </c>
      <c r="I82" s="44" t="str">
        <f t="shared" si="14"/>
        <v>42</v>
      </c>
      <c r="J82" s="88" t="s">
        <v>66</v>
      </c>
      <c r="K82" s="52"/>
      <c r="L82" s="52"/>
      <c r="M82" s="52"/>
      <c r="N82" s="52"/>
      <c r="O82" s="52"/>
      <c r="P82" s="52"/>
      <c r="Q82" s="53"/>
      <c r="R82" s="53"/>
      <c r="S82" s="53"/>
      <c r="T82" s="53"/>
      <c r="U82" s="53"/>
      <c r="V82" s="53"/>
      <c r="W82" s="53"/>
      <c r="X82" s="53"/>
      <c r="Y82" s="54"/>
    </row>
    <row r="83" spans="1:25" ht="15" customHeight="1">
      <c r="A83" s="170"/>
      <c r="B83" s="129" t="s">
        <v>39</v>
      </c>
      <c r="C83" s="20" t="s">
        <v>27</v>
      </c>
      <c r="D83" s="20">
        <v>8</v>
      </c>
      <c r="E83" s="19" t="str">
        <f t="shared" si="6"/>
        <v>FE082000</v>
      </c>
      <c r="F83" s="19" t="str">
        <f t="shared" si="7"/>
        <v>FE083FFF</v>
      </c>
      <c r="G83" s="20" t="s">
        <v>108</v>
      </c>
      <c r="H83" s="19">
        <v>65</v>
      </c>
      <c r="I83" s="44" t="str">
        <f t="shared" si="14"/>
        <v>41</v>
      </c>
      <c r="J83" s="88" t="s">
        <v>66</v>
      </c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4"/>
    </row>
    <row r="84" spans="1:25" ht="15" customHeight="1">
      <c r="A84" s="170"/>
      <c r="B84" s="129" t="s">
        <v>39</v>
      </c>
      <c r="C84" s="20" t="s">
        <v>27</v>
      </c>
      <c r="D84" s="19">
        <v>8</v>
      </c>
      <c r="E84" s="19" t="str">
        <f t="shared" si="6"/>
        <v>FE080000</v>
      </c>
      <c r="F84" s="19" t="str">
        <f t="shared" si="7"/>
        <v>FE081FFF</v>
      </c>
      <c r="G84" s="19" t="s">
        <v>109</v>
      </c>
      <c r="H84" s="19">
        <v>64</v>
      </c>
      <c r="I84" s="44" t="str">
        <f t="shared" si="14"/>
        <v>40</v>
      </c>
      <c r="J84" s="88" t="s">
        <v>66</v>
      </c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5"/>
    </row>
    <row r="85" spans="1:25" ht="15" customHeight="1">
      <c r="A85" s="170"/>
      <c r="B85" s="129" t="s">
        <v>39</v>
      </c>
      <c r="C85" s="20" t="s">
        <v>27</v>
      </c>
      <c r="D85" s="19">
        <v>8</v>
      </c>
      <c r="E85" s="19" t="str">
        <f t="shared" si="6"/>
        <v>FE07E000</v>
      </c>
      <c r="F85" s="19" t="str">
        <f t="shared" si="7"/>
        <v>FE07FFFF</v>
      </c>
      <c r="G85" s="19" t="s">
        <v>110</v>
      </c>
      <c r="H85" s="19">
        <v>63</v>
      </c>
      <c r="I85" s="44" t="str">
        <f t="shared" si="14"/>
        <v>3F</v>
      </c>
      <c r="J85" s="88" t="s">
        <v>66</v>
      </c>
      <c r="K85" s="56"/>
      <c r="L85" s="56"/>
      <c r="M85" s="56"/>
      <c r="N85" s="56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5"/>
    </row>
    <row r="86" spans="1:25" ht="15" customHeight="1">
      <c r="A86" s="170"/>
      <c r="B86" s="129" t="s">
        <v>39</v>
      </c>
      <c r="C86" s="20" t="s">
        <v>27</v>
      </c>
      <c r="D86" s="19">
        <v>8</v>
      </c>
      <c r="E86" s="19" t="str">
        <f t="shared" si="6"/>
        <v>FE07C000</v>
      </c>
      <c r="F86" s="19" t="str">
        <f t="shared" si="7"/>
        <v>FE07DFFF</v>
      </c>
      <c r="G86" s="19" t="s">
        <v>111</v>
      </c>
      <c r="H86" s="19">
        <v>62</v>
      </c>
      <c r="I86" s="44" t="str">
        <f t="shared" si="14"/>
        <v>3E</v>
      </c>
      <c r="J86" s="88" t="s">
        <v>66</v>
      </c>
      <c r="K86" s="57"/>
      <c r="L86" s="57"/>
      <c r="M86" s="57"/>
      <c r="N86" s="57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5"/>
    </row>
    <row r="87" spans="1:25" ht="15" customHeight="1">
      <c r="A87" s="170"/>
      <c r="B87" s="129" t="s">
        <v>39</v>
      </c>
      <c r="C87" s="20" t="s">
        <v>27</v>
      </c>
      <c r="D87" s="19">
        <v>8</v>
      </c>
      <c r="E87" s="19" t="str">
        <f t="shared" si="6"/>
        <v>FE07A000</v>
      </c>
      <c r="F87" s="19" t="str">
        <f t="shared" si="7"/>
        <v>FE07BFFF</v>
      </c>
      <c r="G87" s="19" t="s">
        <v>112</v>
      </c>
      <c r="H87" s="19">
        <v>61</v>
      </c>
      <c r="I87" s="44" t="str">
        <f t="shared" si="14"/>
        <v>3D</v>
      </c>
      <c r="J87" s="88" t="s">
        <v>66</v>
      </c>
      <c r="K87" s="57"/>
      <c r="L87" s="57"/>
      <c r="M87" s="57"/>
      <c r="N87" s="57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5"/>
    </row>
    <row r="88" spans="1:25" ht="15" customHeight="1">
      <c r="A88" s="170"/>
      <c r="B88" s="129" t="s">
        <v>39</v>
      </c>
      <c r="C88" s="20" t="s">
        <v>27</v>
      </c>
      <c r="D88" s="19">
        <v>8</v>
      </c>
      <c r="E88" s="19" t="str">
        <f t="shared" si="6"/>
        <v>FE078000</v>
      </c>
      <c r="F88" s="19" t="str">
        <f t="shared" si="7"/>
        <v>FE079FFF</v>
      </c>
      <c r="G88" s="19" t="s">
        <v>113</v>
      </c>
      <c r="H88" s="19">
        <v>60</v>
      </c>
      <c r="I88" s="44" t="str">
        <f t="shared" si="14"/>
        <v>3C</v>
      </c>
      <c r="J88" s="88" t="s">
        <v>66</v>
      </c>
      <c r="K88" s="57"/>
      <c r="L88" s="57"/>
      <c r="M88" s="57"/>
      <c r="N88" s="57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5"/>
    </row>
    <row r="89" spans="1:25" ht="15" customHeight="1">
      <c r="A89" s="170"/>
      <c r="B89" s="129" t="s">
        <v>39</v>
      </c>
      <c r="C89" s="20" t="s">
        <v>27</v>
      </c>
      <c r="D89" s="20">
        <v>8</v>
      </c>
      <c r="E89" s="19" t="str">
        <f t="shared" si="6"/>
        <v>FE076000</v>
      </c>
      <c r="F89" s="19" t="str">
        <f t="shared" si="7"/>
        <v>FE077FFF</v>
      </c>
      <c r="G89" s="20" t="s">
        <v>114</v>
      </c>
      <c r="H89" s="19">
        <v>59</v>
      </c>
      <c r="I89" s="44" t="str">
        <f t="shared" si="14"/>
        <v>3B</v>
      </c>
      <c r="J89" s="88" t="s">
        <v>66</v>
      </c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5"/>
    </row>
    <row r="90" spans="1:25" ht="15" customHeight="1">
      <c r="A90" s="170"/>
      <c r="B90" s="129" t="s">
        <v>39</v>
      </c>
      <c r="C90" s="20" t="s">
        <v>27</v>
      </c>
      <c r="D90" s="19">
        <v>8</v>
      </c>
      <c r="E90" s="19" t="str">
        <f t="shared" si="6"/>
        <v>FE074000</v>
      </c>
      <c r="F90" s="19" t="str">
        <f t="shared" si="7"/>
        <v>FE075FFF</v>
      </c>
      <c r="G90" s="19" t="s">
        <v>115</v>
      </c>
      <c r="H90" s="19">
        <v>58</v>
      </c>
      <c r="I90" s="44" t="str">
        <f t="shared" si="14"/>
        <v>3A</v>
      </c>
      <c r="J90" s="88" t="s">
        <v>66</v>
      </c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5"/>
    </row>
    <row r="91" spans="1:25" ht="15" customHeight="1">
      <c r="A91" s="170"/>
      <c r="B91" s="129" t="s">
        <v>39</v>
      </c>
      <c r="C91" s="20" t="s">
        <v>27</v>
      </c>
      <c r="D91" s="19">
        <v>8</v>
      </c>
      <c r="E91" s="19" t="str">
        <f t="shared" si="6"/>
        <v>FE072000</v>
      </c>
      <c r="F91" s="19" t="str">
        <f t="shared" si="7"/>
        <v>FE073FFF</v>
      </c>
      <c r="G91" s="19" t="s">
        <v>116</v>
      </c>
      <c r="H91" s="19">
        <v>57</v>
      </c>
      <c r="I91" s="44" t="str">
        <f t="shared" si="14"/>
        <v>39</v>
      </c>
      <c r="J91" s="88" t="s">
        <v>66</v>
      </c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5"/>
    </row>
    <row r="92" spans="1:25" ht="15" customHeight="1">
      <c r="A92" s="170"/>
      <c r="B92" s="129" t="s">
        <v>39</v>
      </c>
      <c r="C92" s="20" t="s">
        <v>27</v>
      </c>
      <c r="D92" s="19">
        <v>8</v>
      </c>
      <c r="E92" s="19" t="str">
        <f t="shared" si="6"/>
        <v>FE070000</v>
      </c>
      <c r="F92" s="19" t="str">
        <f t="shared" si="7"/>
        <v>FE071FFF</v>
      </c>
      <c r="G92" s="19" t="s">
        <v>117</v>
      </c>
      <c r="H92" s="19">
        <v>56</v>
      </c>
      <c r="I92" s="44" t="str">
        <f t="shared" si="14"/>
        <v>38</v>
      </c>
      <c r="J92" s="88" t="s">
        <v>66</v>
      </c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5"/>
    </row>
    <row r="93" spans="1:25" ht="15" customHeight="1">
      <c r="A93" s="170"/>
      <c r="B93" s="129" t="s">
        <v>39</v>
      </c>
      <c r="C93" s="20" t="s">
        <v>27</v>
      </c>
      <c r="D93" s="19">
        <v>8</v>
      </c>
      <c r="E93" s="19" t="str">
        <f t="shared" si="6"/>
        <v>FE06E000</v>
      </c>
      <c r="F93" s="19" t="str">
        <f t="shared" si="7"/>
        <v>FE06FFFF</v>
      </c>
      <c r="G93" s="19" t="s">
        <v>118</v>
      </c>
      <c r="H93" s="19">
        <v>55</v>
      </c>
      <c r="I93" s="44" t="str">
        <f t="shared" si="14"/>
        <v>37</v>
      </c>
      <c r="J93" s="88" t="s">
        <v>66</v>
      </c>
      <c r="K93" s="56"/>
      <c r="L93" s="56"/>
      <c r="M93" s="56"/>
      <c r="N93" s="56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5"/>
    </row>
    <row r="94" spans="1:25" ht="15" customHeight="1">
      <c r="A94" s="170"/>
      <c r="B94" s="129" t="s">
        <v>39</v>
      </c>
      <c r="C94" s="20" t="s">
        <v>27</v>
      </c>
      <c r="D94" s="19">
        <v>8</v>
      </c>
      <c r="E94" s="19" t="str">
        <f t="shared" si="6"/>
        <v>FE06C000</v>
      </c>
      <c r="F94" s="19" t="str">
        <f t="shared" si="7"/>
        <v>FE06DFFF</v>
      </c>
      <c r="G94" s="19" t="s">
        <v>119</v>
      </c>
      <c r="H94" s="19">
        <v>54</v>
      </c>
      <c r="I94" s="44" t="str">
        <f t="shared" si="14"/>
        <v>36</v>
      </c>
      <c r="J94" s="88" t="s">
        <v>66</v>
      </c>
      <c r="K94" s="57"/>
      <c r="L94" s="57"/>
      <c r="M94" s="57"/>
      <c r="N94" s="57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5"/>
    </row>
    <row r="95" spans="1:25" ht="15" customHeight="1">
      <c r="A95" s="170"/>
      <c r="B95" s="129" t="s">
        <v>39</v>
      </c>
      <c r="C95" s="20" t="s">
        <v>27</v>
      </c>
      <c r="D95" s="19">
        <v>8</v>
      </c>
      <c r="E95" s="19" t="str">
        <f t="shared" si="6"/>
        <v>FE06A000</v>
      </c>
      <c r="F95" s="19" t="str">
        <f t="shared" si="7"/>
        <v>FE06BFFF</v>
      </c>
      <c r="G95" s="19" t="s">
        <v>120</v>
      </c>
      <c r="H95" s="19">
        <v>53</v>
      </c>
      <c r="I95" s="44" t="str">
        <f t="shared" si="14"/>
        <v>35</v>
      </c>
      <c r="J95" s="88" t="s">
        <v>66</v>
      </c>
      <c r="K95" s="57"/>
      <c r="L95" s="57"/>
      <c r="M95" s="57"/>
      <c r="N95" s="57"/>
      <c r="O95" s="52"/>
      <c r="P95" s="56"/>
      <c r="Q95" s="56"/>
      <c r="R95" s="56"/>
      <c r="S95" s="56"/>
      <c r="T95" s="52"/>
      <c r="U95" s="52"/>
      <c r="V95" s="52"/>
      <c r="W95" s="52"/>
      <c r="X95" s="52"/>
      <c r="Y95" s="55"/>
    </row>
    <row r="96" spans="1:25" ht="15" customHeight="1">
      <c r="A96" s="170"/>
      <c r="B96" s="129" t="s">
        <v>39</v>
      </c>
      <c r="C96" s="20" t="s">
        <v>27</v>
      </c>
      <c r="D96" s="19">
        <v>8</v>
      </c>
      <c r="E96" s="19" t="str">
        <f t="shared" si="6"/>
        <v>FE068000</v>
      </c>
      <c r="F96" s="19" t="str">
        <f t="shared" si="7"/>
        <v>FE069FFF</v>
      </c>
      <c r="G96" s="19" t="s">
        <v>121</v>
      </c>
      <c r="H96" s="19">
        <v>52</v>
      </c>
      <c r="I96" s="44" t="str">
        <f t="shared" si="14"/>
        <v>34</v>
      </c>
      <c r="J96" s="88" t="s">
        <v>66</v>
      </c>
      <c r="K96" s="57"/>
      <c r="L96" s="57"/>
      <c r="M96" s="57"/>
      <c r="N96" s="57"/>
      <c r="O96" s="52"/>
      <c r="P96" s="56"/>
      <c r="Q96" s="56"/>
      <c r="R96" s="56"/>
      <c r="S96" s="56"/>
      <c r="T96" s="52"/>
      <c r="U96" s="52"/>
      <c r="V96" s="52"/>
      <c r="W96" s="52"/>
      <c r="X96" s="52"/>
      <c r="Y96" s="55"/>
    </row>
    <row r="97" spans="1:25" ht="15" customHeight="1">
      <c r="A97" s="170"/>
      <c r="B97" s="129" t="s">
        <v>39</v>
      </c>
      <c r="C97" s="20" t="s">
        <v>27</v>
      </c>
      <c r="D97" s="19">
        <v>8</v>
      </c>
      <c r="E97" s="19" t="str">
        <f t="shared" si="6"/>
        <v>FE066000</v>
      </c>
      <c r="F97" s="19" t="str">
        <f t="shared" si="7"/>
        <v>FE067FFF</v>
      </c>
      <c r="G97" s="19" t="s">
        <v>122</v>
      </c>
      <c r="H97" s="19">
        <v>51</v>
      </c>
      <c r="I97" s="44" t="str">
        <f t="shared" si="14"/>
        <v>33</v>
      </c>
      <c r="J97" s="88" t="s">
        <v>66</v>
      </c>
      <c r="K97" s="57"/>
      <c r="L97" s="57"/>
      <c r="M97" s="57"/>
      <c r="N97" s="57"/>
      <c r="O97" s="52"/>
      <c r="P97" s="57"/>
      <c r="Q97" s="57"/>
      <c r="R97" s="57"/>
      <c r="S97" s="57"/>
      <c r="T97" s="52"/>
      <c r="U97" s="52"/>
      <c r="V97" s="52"/>
      <c r="W97" s="52"/>
      <c r="X97" s="52"/>
      <c r="Y97" s="55"/>
    </row>
    <row r="98" spans="1:25" ht="15" customHeight="1">
      <c r="A98" s="170"/>
      <c r="B98" s="129" t="s">
        <v>39</v>
      </c>
      <c r="C98" s="20" t="s">
        <v>27</v>
      </c>
      <c r="D98" s="19">
        <v>8</v>
      </c>
      <c r="E98" s="19" t="str">
        <f t="shared" si="6"/>
        <v>FE064000</v>
      </c>
      <c r="F98" s="19" t="str">
        <f t="shared" si="7"/>
        <v>FE065FFF</v>
      </c>
      <c r="G98" s="19" t="s">
        <v>123</v>
      </c>
      <c r="H98" s="19">
        <v>50</v>
      </c>
      <c r="I98" s="44" t="str">
        <f t="shared" si="14"/>
        <v>32</v>
      </c>
      <c r="J98" s="88" t="s">
        <v>66</v>
      </c>
      <c r="K98" s="55"/>
      <c r="L98" s="52"/>
      <c r="M98" s="52"/>
      <c r="N98" s="52"/>
      <c r="O98" s="52"/>
      <c r="P98" s="57"/>
      <c r="Q98" s="57"/>
      <c r="R98" s="57"/>
      <c r="S98" s="57"/>
      <c r="T98" s="52"/>
      <c r="U98" s="52"/>
      <c r="V98" s="52"/>
      <c r="W98" s="52"/>
      <c r="X98" s="52"/>
      <c r="Y98" s="55"/>
    </row>
    <row r="99" spans="1:25" ht="15" customHeight="1">
      <c r="A99" s="170"/>
      <c r="B99" s="129" t="s">
        <v>39</v>
      </c>
      <c r="C99" s="20" t="s">
        <v>27</v>
      </c>
      <c r="D99" s="20">
        <v>8</v>
      </c>
      <c r="E99" s="19" t="str">
        <f t="shared" si="6"/>
        <v>FE062000</v>
      </c>
      <c r="F99" s="19" t="str">
        <f t="shared" si="7"/>
        <v>FE063FFF</v>
      </c>
      <c r="G99" s="20" t="s">
        <v>124</v>
      </c>
      <c r="H99" s="19">
        <v>49</v>
      </c>
      <c r="I99" s="44" t="str">
        <f t="shared" si="14"/>
        <v>31</v>
      </c>
      <c r="J99" s="88" t="s">
        <v>66</v>
      </c>
      <c r="K99" s="52"/>
      <c r="L99" s="52"/>
      <c r="M99" s="52"/>
      <c r="N99" s="52"/>
      <c r="O99" s="52"/>
      <c r="P99" s="57"/>
      <c r="Q99" s="57"/>
      <c r="R99" s="57"/>
      <c r="S99" s="57"/>
      <c r="T99" s="52"/>
      <c r="U99" s="52"/>
      <c r="V99" s="52"/>
      <c r="W99" s="52"/>
      <c r="X99" s="52"/>
      <c r="Y99" s="55"/>
    </row>
    <row r="100" spans="1:25" ht="15" customHeight="1">
      <c r="A100" s="170"/>
      <c r="B100" s="129" t="s">
        <v>39</v>
      </c>
      <c r="C100" s="20" t="s">
        <v>27</v>
      </c>
      <c r="D100" s="19">
        <v>8</v>
      </c>
      <c r="E100" s="19" t="str">
        <f t="shared" si="6"/>
        <v>FE060000</v>
      </c>
      <c r="F100" s="19" t="str">
        <f t="shared" si="7"/>
        <v>FE061FFF</v>
      </c>
      <c r="G100" s="19" t="s">
        <v>125</v>
      </c>
      <c r="H100" s="19">
        <v>48</v>
      </c>
      <c r="I100" s="44" t="str">
        <f t="shared" si="14"/>
        <v>30</v>
      </c>
      <c r="J100" s="88" t="s">
        <v>66</v>
      </c>
      <c r="K100" s="52"/>
      <c r="L100" s="52"/>
      <c r="M100" s="52"/>
      <c r="N100" s="52"/>
      <c r="O100" s="52"/>
      <c r="P100" s="57"/>
      <c r="Q100" s="57"/>
      <c r="R100" s="57"/>
      <c r="S100" s="57"/>
      <c r="T100" s="52"/>
      <c r="U100" s="52"/>
      <c r="V100" s="52"/>
      <c r="W100" s="52"/>
      <c r="X100" s="52"/>
      <c r="Y100" s="55"/>
    </row>
    <row r="101" spans="1:25" ht="15" customHeight="1">
      <c r="A101" s="170"/>
      <c r="B101" s="129" t="s">
        <v>39</v>
      </c>
      <c r="C101" s="20" t="s">
        <v>27</v>
      </c>
      <c r="D101" s="19">
        <v>8</v>
      </c>
      <c r="E101" s="19" t="str">
        <f t="shared" ref="E101:E164" si="15">DEC2HEX(HEX2DEC(F101)-D101*1024+1)</f>
        <v>FE05E000</v>
      </c>
      <c r="F101" s="19" t="str">
        <f t="shared" ref="F101:F164" si="16">DEC2HEX(HEX2DEC(F100)-D100*1024)</f>
        <v>FE05FFFF</v>
      </c>
      <c r="G101" s="19" t="s">
        <v>126</v>
      </c>
      <c r="H101" s="19">
        <v>47</v>
      </c>
      <c r="I101" s="44" t="str">
        <f t="shared" si="14"/>
        <v>2F</v>
      </c>
      <c r="J101" s="88" t="s">
        <v>66</v>
      </c>
      <c r="K101" s="52"/>
      <c r="L101" s="52"/>
      <c r="M101" s="52"/>
      <c r="N101" s="52"/>
      <c r="O101" s="52"/>
      <c r="P101" s="57"/>
      <c r="Q101" s="57"/>
      <c r="R101" s="57"/>
      <c r="S101" s="57"/>
      <c r="T101" s="52"/>
      <c r="U101" s="52"/>
      <c r="V101" s="52"/>
      <c r="W101" s="52"/>
      <c r="X101" s="52"/>
      <c r="Y101" s="55"/>
    </row>
    <row r="102" spans="1:25" ht="15" customHeight="1">
      <c r="A102" s="170"/>
      <c r="B102" s="129" t="s">
        <v>39</v>
      </c>
      <c r="C102" s="20" t="s">
        <v>27</v>
      </c>
      <c r="D102" s="19">
        <v>8</v>
      </c>
      <c r="E102" s="19" t="str">
        <f t="shared" si="15"/>
        <v>FE05C000</v>
      </c>
      <c r="F102" s="19" t="str">
        <f t="shared" si="16"/>
        <v>FE05DFFF</v>
      </c>
      <c r="G102" s="19" t="s">
        <v>127</v>
      </c>
      <c r="H102" s="19">
        <v>46</v>
      </c>
      <c r="I102" s="44" t="str">
        <f t="shared" si="14"/>
        <v>2E</v>
      </c>
      <c r="J102" s="88" t="s">
        <v>66</v>
      </c>
      <c r="K102" s="52"/>
      <c r="L102" s="52"/>
      <c r="M102" s="52"/>
      <c r="N102" s="52"/>
      <c r="O102" s="52"/>
      <c r="P102" s="57"/>
      <c r="Q102" s="57"/>
      <c r="R102" s="57"/>
      <c r="S102" s="57"/>
      <c r="T102" s="52"/>
      <c r="U102" s="52"/>
      <c r="V102" s="52"/>
      <c r="W102" s="52"/>
      <c r="X102" s="52"/>
      <c r="Y102" s="55"/>
    </row>
    <row r="103" spans="1:25" ht="15" customHeight="1">
      <c r="A103" s="170"/>
      <c r="B103" s="129" t="s">
        <v>39</v>
      </c>
      <c r="C103" s="20" t="s">
        <v>27</v>
      </c>
      <c r="D103" s="19">
        <v>8</v>
      </c>
      <c r="E103" s="19" t="str">
        <f t="shared" si="15"/>
        <v>FE05A000</v>
      </c>
      <c r="F103" s="19" t="str">
        <f t="shared" si="16"/>
        <v>FE05BFFF</v>
      </c>
      <c r="G103" s="19" t="s">
        <v>128</v>
      </c>
      <c r="H103" s="19">
        <v>45</v>
      </c>
      <c r="I103" s="44" t="str">
        <f t="shared" si="14"/>
        <v>2D</v>
      </c>
      <c r="J103" s="88" t="s">
        <v>66</v>
      </c>
      <c r="K103" s="52"/>
      <c r="L103" s="52"/>
      <c r="M103" s="52"/>
      <c r="N103" s="52"/>
      <c r="O103" s="52"/>
      <c r="P103" s="57"/>
      <c r="Q103" s="57"/>
      <c r="R103" s="57"/>
      <c r="S103" s="57"/>
      <c r="T103" s="52"/>
      <c r="U103" s="52"/>
      <c r="V103" s="52"/>
      <c r="W103" s="52"/>
      <c r="X103" s="52"/>
      <c r="Y103" s="55"/>
    </row>
    <row r="104" spans="1:25" ht="15" customHeight="1">
      <c r="A104" s="170"/>
      <c r="B104" s="129" t="s">
        <v>39</v>
      </c>
      <c r="C104" s="20" t="s">
        <v>27</v>
      </c>
      <c r="D104" s="19">
        <v>8</v>
      </c>
      <c r="E104" s="19" t="str">
        <f t="shared" si="15"/>
        <v>FE058000</v>
      </c>
      <c r="F104" s="19" t="str">
        <f t="shared" si="16"/>
        <v>FE059FFF</v>
      </c>
      <c r="G104" s="19" t="s">
        <v>129</v>
      </c>
      <c r="H104" s="19">
        <v>44</v>
      </c>
      <c r="I104" s="44" t="str">
        <f t="shared" si="14"/>
        <v>2C</v>
      </c>
      <c r="J104" s="88" t="s">
        <v>66</v>
      </c>
      <c r="K104" s="55"/>
      <c r="L104" s="55"/>
      <c r="M104" s="55"/>
      <c r="N104" s="55"/>
      <c r="O104" s="52"/>
      <c r="P104" s="57"/>
      <c r="Q104" s="57"/>
      <c r="R104" s="57"/>
      <c r="S104" s="57"/>
      <c r="T104" s="52"/>
      <c r="U104" s="52"/>
      <c r="V104" s="52"/>
      <c r="W104" s="52"/>
      <c r="X104" s="52"/>
      <c r="Y104" s="55"/>
    </row>
    <row r="105" spans="1:25" ht="15" customHeight="1">
      <c r="A105" s="170"/>
      <c r="B105" s="129" t="s">
        <v>39</v>
      </c>
      <c r="C105" s="20" t="s">
        <v>27</v>
      </c>
      <c r="D105" s="19">
        <v>8</v>
      </c>
      <c r="E105" s="19" t="str">
        <f t="shared" si="15"/>
        <v>FE056000</v>
      </c>
      <c r="F105" s="19" t="str">
        <f t="shared" si="16"/>
        <v>FE057FFF</v>
      </c>
      <c r="G105" s="19" t="s">
        <v>130</v>
      </c>
      <c r="H105" s="19">
        <v>43</v>
      </c>
      <c r="I105" s="44" t="str">
        <f t="shared" si="14"/>
        <v>2B</v>
      </c>
      <c r="J105" s="88" t="s">
        <v>66</v>
      </c>
      <c r="K105" s="55"/>
      <c r="L105" s="55"/>
      <c r="M105" s="55"/>
      <c r="N105" s="55"/>
      <c r="O105" s="52"/>
      <c r="P105" s="55"/>
      <c r="Q105" s="55"/>
      <c r="R105" s="55"/>
      <c r="S105" s="55"/>
      <c r="T105" s="52"/>
      <c r="U105" s="58"/>
      <c r="V105" s="58"/>
      <c r="W105" s="58"/>
      <c r="X105" s="58"/>
      <c r="Y105" s="55"/>
    </row>
    <row r="106" spans="1:25" ht="15" customHeight="1">
      <c r="A106" s="170"/>
      <c r="B106" s="129" t="s">
        <v>39</v>
      </c>
      <c r="C106" s="20" t="s">
        <v>27</v>
      </c>
      <c r="D106" s="19">
        <v>8</v>
      </c>
      <c r="E106" s="19" t="str">
        <f t="shared" si="15"/>
        <v>FE054000</v>
      </c>
      <c r="F106" s="19" t="str">
        <f t="shared" si="16"/>
        <v>FE055FFF</v>
      </c>
      <c r="G106" s="19" t="s">
        <v>131</v>
      </c>
      <c r="H106" s="19">
        <v>42</v>
      </c>
      <c r="I106" s="44" t="str">
        <f t="shared" si="14"/>
        <v>2A</v>
      </c>
      <c r="J106" s="88" t="s">
        <v>66</v>
      </c>
      <c r="K106" s="55"/>
      <c r="L106" s="55"/>
      <c r="M106" s="55"/>
      <c r="N106" s="55"/>
      <c r="O106" s="52"/>
      <c r="P106" s="55"/>
      <c r="Q106" s="55"/>
      <c r="R106" s="55"/>
      <c r="S106" s="55"/>
      <c r="T106" s="52"/>
      <c r="U106" s="58"/>
      <c r="V106" s="58"/>
      <c r="W106" s="58"/>
      <c r="X106" s="58"/>
      <c r="Y106" s="55"/>
    </row>
    <row r="107" spans="1:25" ht="15" customHeight="1">
      <c r="A107" s="170"/>
      <c r="B107" s="129" t="s">
        <v>39</v>
      </c>
      <c r="C107" s="20" t="s">
        <v>27</v>
      </c>
      <c r="D107" s="19">
        <v>8</v>
      </c>
      <c r="E107" s="19" t="str">
        <f t="shared" si="15"/>
        <v>FE052000</v>
      </c>
      <c r="F107" s="19" t="str">
        <f t="shared" si="16"/>
        <v>FE053FFF</v>
      </c>
      <c r="G107" s="19" t="s">
        <v>132</v>
      </c>
      <c r="H107" s="19">
        <v>41</v>
      </c>
      <c r="I107" s="44" t="str">
        <f t="shared" si="14"/>
        <v>29</v>
      </c>
      <c r="J107" s="88" t="s">
        <v>66</v>
      </c>
      <c r="K107" s="55"/>
      <c r="L107" s="55"/>
      <c r="M107" s="55"/>
      <c r="N107" s="55"/>
      <c r="O107" s="52"/>
      <c r="P107" s="55"/>
      <c r="Q107" s="55"/>
      <c r="R107" s="55"/>
      <c r="S107" s="55"/>
      <c r="T107" s="52"/>
      <c r="U107" s="52"/>
      <c r="V107" s="52"/>
      <c r="W107" s="52"/>
      <c r="X107" s="52"/>
      <c r="Y107" s="55"/>
    </row>
    <row r="108" spans="1:25" ht="15" customHeight="1">
      <c r="A108" s="170"/>
      <c r="B108" s="129" t="s">
        <v>39</v>
      </c>
      <c r="C108" s="20" t="s">
        <v>27</v>
      </c>
      <c r="D108" s="19">
        <v>8</v>
      </c>
      <c r="E108" s="19" t="str">
        <f t="shared" si="15"/>
        <v>FE050000</v>
      </c>
      <c r="F108" s="19" t="str">
        <f t="shared" si="16"/>
        <v>FE051FFF</v>
      </c>
      <c r="G108" s="19" t="s">
        <v>133</v>
      </c>
      <c r="H108" s="19">
        <v>40</v>
      </c>
      <c r="I108" s="44" t="str">
        <f t="shared" si="14"/>
        <v>28</v>
      </c>
      <c r="J108" s="88" t="s">
        <v>66</v>
      </c>
      <c r="K108" s="55"/>
      <c r="L108" s="55"/>
      <c r="M108" s="55"/>
      <c r="N108" s="55"/>
      <c r="O108" s="52"/>
      <c r="P108" s="55"/>
      <c r="Q108" s="55"/>
      <c r="R108" s="55"/>
      <c r="S108" s="55"/>
      <c r="T108" s="52"/>
      <c r="U108" s="52"/>
      <c r="V108" s="52"/>
      <c r="W108" s="52"/>
      <c r="X108" s="52"/>
      <c r="Y108" s="55"/>
    </row>
    <row r="109" spans="1:25" ht="15" customHeight="1">
      <c r="A109" s="170"/>
      <c r="B109" s="129" t="s">
        <v>39</v>
      </c>
      <c r="C109" s="20" t="s">
        <v>27</v>
      </c>
      <c r="D109" s="20">
        <v>8</v>
      </c>
      <c r="E109" s="19" t="str">
        <f t="shared" si="15"/>
        <v>FE04E000</v>
      </c>
      <c r="F109" s="19" t="str">
        <f t="shared" si="16"/>
        <v>FE04FFFF</v>
      </c>
      <c r="G109" s="20" t="s">
        <v>134</v>
      </c>
      <c r="H109" s="19">
        <v>39</v>
      </c>
      <c r="I109" s="44" t="str">
        <f t="shared" si="14"/>
        <v>27</v>
      </c>
      <c r="J109" s="88" t="s">
        <v>66</v>
      </c>
      <c r="K109" s="55"/>
      <c r="L109" s="55"/>
      <c r="M109" s="55"/>
      <c r="N109" s="55"/>
      <c r="O109" s="52"/>
      <c r="P109" s="55"/>
      <c r="Q109" s="55"/>
      <c r="R109" s="55"/>
      <c r="S109" s="55"/>
      <c r="T109" s="52"/>
      <c r="U109" s="52"/>
      <c r="V109" s="52"/>
      <c r="W109" s="52"/>
      <c r="X109" s="52"/>
      <c r="Y109" s="55"/>
    </row>
    <row r="110" spans="1:25" ht="15" customHeight="1">
      <c r="A110" s="170"/>
      <c r="B110" s="129" t="s">
        <v>39</v>
      </c>
      <c r="C110" s="20" t="s">
        <v>27</v>
      </c>
      <c r="D110" s="20">
        <v>8</v>
      </c>
      <c r="E110" s="19" t="str">
        <f t="shared" si="15"/>
        <v>FE04C000</v>
      </c>
      <c r="F110" s="19" t="str">
        <f t="shared" si="16"/>
        <v>FE04DFFF</v>
      </c>
      <c r="G110" s="20" t="s">
        <v>135</v>
      </c>
      <c r="H110" s="19">
        <v>38</v>
      </c>
      <c r="I110" s="44" t="str">
        <f t="shared" si="14"/>
        <v>26</v>
      </c>
      <c r="J110" s="88" t="s">
        <v>66</v>
      </c>
      <c r="K110" s="55"/>
      <c r="L110" s="55"/>
      <c r="M110" s="55"/>
      <c r="N110" s="55"/>
      <c r="O110" s="52"/>
      <c r="P110" s="55"/>
      <c r="Q110" s="55"/>
      <c r="R110" s="55"/>
      <c r="S110" s="55"/>
      <c r="T110" s="52"/>
      <c r="U110" s="52"/>
      <c r="V110" s="52"/>
      <c r="W110" s="52"/>
      <c r="X110" s="52"/>
      <c r="Y110" s="54"/>
    </row>
    <row r="111" spans="1:25" ht="15" customHeight="1">
      <c r="A111" s="170"/>
      <c r="B111" s="129" t="s">
        <v>39</v>
      </c>
      <c r="C111" s="20" t="s">
        <v>27</v>
      </c>
      <c r="D111" s="20">
        <v>8</v>
      </c>
      <c r="E111" s="19" t="str">
        <f t="shared" si="15"/>
        <v>FE04A000</v>
      </c>
      <c r="F111" s="19" t="str">
        <f t="shared" si="16"/>
        <v>FE04BFFF</v>
      </c>
      <c r="G111" s="20" t="s">
        <v>136</v>
      </c>
      <c r="H111" s="19">
        <v>37</v>
      </c>
      <c r="I111" s="44" t="str">
        <f t="shared" si="14"/>
        <v>25</v>
      </c>
      <c r="J111" s="88" t="s">
        <v>66</v>
      </c>
      <c r="K111" s="61"/>
      <c r="L111" s="40"/>
      <c r="M111" s="40"/>
      <c r="N111" s="40"/>
      <c r="O111" s="39"/>
      <c r="P111" s="40"/>
      <c r="Q111" s="40"/>
      <c r="R111" s="40"/>
      <c r="S111" s="40"/>
      <c r="T111" s="39"/>
      <c r="U111" s="39"/>
      <c r="V111" s="39"/>
      <c r="W111" s="39"/>
      <c r="X111" s="39"/>
      <c r="Y111" s="40"/>
    </row>
    <row r="112" spans="1:25" ht="15" customHeight="1">
      <c r="A112" s="170"/>
      <c r="B112" s="129" t="s">
        <v>39</v>
      </c>
      <c r="C112" s="19" t="s">
        <v>60</v>
      </c>
      <c r="D112" s="19">
        <v>8</v>
      </c>
      <c r="E112" s="19" t="str">
        <f t="shared" si="15"/>
        <v>FE048000</v>
      </c>
      <c r="F112" s="19" t="str">
        <f t="shared" si="16"/>
        <v>FE049FFF</v>
      </c>
      <c r="G112" s="19" t="s">
        <v>137</v>
      </c>
      <c r="H112" s="19">
        <v>36</v>
      </c>
      <c r="I112" s="44" t="str">
        <f t="shared" si="14"/>
        <v>24</v>
      </c>
      <c r="J112" s="88" t="s">
        <v>66</v>
      </c>
      <c r="K112" s="61"/>
      <c r="L112" s="40"/>
      <c r="M112" s="40"/>
      <c r="N112" s="40"/>
      <c r="O112" s="39"/>
      <c r="P112" s="40"/>
      <c r="Q112" s="40"/>
      <c r="R112" s="40"/>
      <c r="S112" s="40"/>
      <c r="T112" s="39"/>
      <c r="U112" s="39"/>
      <c r="V112" s="39"/>
      <c r="W112" s="39"/>
      <c r="X112" s="39"/>
      <c r="Y112" s="40"/>
    </row>
    <row r="113" spans="1:24" ht="15" customHeight="1">
      <c r="A113" s="170"/>
      <c r="B113" s="129" t="s">
        <v>39</v>
      </c>
      <c r="C113" s="20" t="s">
        <v>27</v>
      </c>
      <c r="D113" s="19">
        <v>8</v>
      </c>
      <c r="E113" s="19" t="str">
        <f t="shared" si="15"/>
        <v>FE046000</v>
      </c>
      <c r="F113" s="19" t="str">
        <f t="shared" si="16"/>
        <v>FE047FFF</v>
      </c>
      <c r="G113" s="19" t="s">
        <v>138</v>
      </c>
      <c r="H113" s="19">
        <v>35</v>
      </c>
      <c r="I113" s="44" t="str">
        <f t="shared" si="14"/>
        <v>23</v>
      </c>
      <c r="J113" s="88" t="s">
        <v>66</v>
      </c>
      <c r="K113" s="62"/>
      <c r="O113" s="1"/>
      <c r="T113" s="1"/>
      <c r="U113" s="1"/>
      <c r="V113" s="1"/>
      <c r="W113" s="1"/>
      <c r="X113" s="1"/>
    </row>
    <row r="114" spans="1:24" ht="15" customHeight="1">
      <c r="A114" s="170"/>
      <c r="B114" s="129" t="s">
        <v>39</v>
      </c>
      <c r="C114" s="20" t="s">
        <v>27</v>
      </c>
      <c r="D114" s="19">
        <v>8</v>
      </c>
      <c r="E114" s="19" t="str">
        <f t="shared" si="15"/>
        <v>FE044000</v>
      </c>
      <c r="F114" s="19" t="str">
        <f t="shared" si="16"/>
        <v>FE045FFF</v>
      </c>
      <c r="G114" s="19" t="s">
        <v>139</v>
      </c>
      <c r="H114" s="19">
        <v>34</v>
      </c>
      <c r="I114" s="44" t="str">
        <f t="shared" si="14"/>
        <v>22</v>
      </c>
      <c r="J114" s="88" t="s">
        <v>66</v>
      </c>
      <c r="K114" s="8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" customHeight="1">
      <c r="A115" s="170"/>
      <c r="B115" s="129" t="s">
        <v>39</v>
      </c>
      <c r="C115" s="20" t="s">
        <v>27</v>
      </c>
      <c r="D115" s="19">
        <v>8</v>
      </c>
      <c r="E115" s="19" t="str">
        <f t="shared" si="15"/>
        <v>FE042000</v>
      </c>
      <c r="F115" s="19" t="str">
        <f t="shared" si="16"/>
        <v>FE043FFF</v>
      </c>
      <c r="G115" s="19" t="s">
        <v>140</v>
      </c>
      <c r="H115" s="19">
        <v>33</v>
      </c>
      <c r="I115" s="44" t="str">
        <f t="shared" si="14"/>
        <v>21</v>
      </c>
      <c r="J115" s="88" t="s">
        <v>66</v>
      </c>
      <c r="K115" s="8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" customHeight="1">
      <c r="A116" s="170"/>
      <c r="B116" s="129" t="s">
        <v>39</v>
      </c>
      <c r="C116" s="27" t="s">
        <v>141</v>
      </c>
      <c r="D116" s="27">
        <v>8</v>
      </c>
      <c r="E116" s="28" t="str">
        <f t="shared" si="15"/>
        <v>FE040000</v>
      </c>
      <c r="F116" s="28" t="str">
        <f t="shared" si="16"/>
        <v>FE041FFF</v>
      </c>
      <c r="G116" s="27" t="s">
        <v>142</v>
      </c>
      <c r="H116" s="28">
        <v>32</v>
      </c>
      <c r="I116" s="46" t="str">
        <f t="shared" si="14"/>
        <v>20</v>
      </c>
      <c r="J116" s="89" t="s">
        <v>66</v>
      </c>
      <c r="K116" s="8"/>
      <c r="L116" s="115" t="s">
        <v>44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" customHeight="1">
      <c r="A117" s="170"/>
      <c r="B117" s="129" t="s">
        <v>39</v>
      </c>
      <c r="C117" s="20" t="s">
        <v>27</v>
      </c>
      <c r="D117" s="19">
        <v>8</v>
      </c>
      <c r="E117" s="19" t="str">
        <f t="shared" si="15"/>
        <v>FE03E000</v>
      </c>
      <c r="F117" s="19" t="str">
        <f t="shared" si="16"/>
        <v>FE03FFFF</v>
      </c>
      <c r="G117" s="19" t="s">
        <v>143</v>
      </c>
      <c r="H117" s="19">
        <v>31</v>
      </c>
      <c r="I117" s="44" t="str">
        <f t="shared" si="14"/>
        <v>1F</v>
      </c>
      <c r="J117" s="88" t="s">
        <v>66</v>
      </c>
      <c r="K117" s="8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" customHeight="1">
      <c r="A118" s="170"/>
      <c r="B118" s="129" t="s">
        <v>39</v>
      </c>
      <c r="C118" s="20" t="s">
        <v>27</v>
      </c>
      <c r="D118" s="20">
        <v>8</v>
      </c>
      <c r="E118" s="19" t="str">
        <f t="shared" si="15"/>
        <v>FE03C000</v>
      </c>
      <c r="F118" s="19" t="str">
        <f t="shared" si="16"/>
        <v>FE03DFFF</v>
      </c>
      <c r="G118" s="20" t="s">
        <v>144</v>
      </c>
      <c r="H118" s="19">
        <v>30</v>
      </c>
      <c r="I118" s="44" t="str">
        <f t="shared" si="14"/>
        <v>1E</v>
      </c>
      <c r="J118" s="88" t="s">
        <v>66</v>
      </c>
      <c r="K118" s="8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" customHeight="1">
      <c r="A119" s="170"/>
      <c r="B119" s="129" t="s">
        <v>39</v>
      </c>
      <c r="C119" s="20" t="s">
        <v>27</v>
      </c>
      <c r="D119" s="19">
        <v>8</v>
      </c>
      <c r="E119" s="19" t="str">
        <f t="shared" si="15"/>
        <v>FE03A000</v>
      </c>
      <c r="F119" s="19" t="str">
        <f t="shared" si="16"/>
        <v>FE03BFFF</v>
      </c>
      <c r="G119" s="19" t="s">
        <v>145</v>
      </c>
      <c r="H119" s="19">
        <v>29</v>
      </c>
      <c r="I119" s="44" t="str">
        <f t="shared" si="14"/>
        <v>1D</v>
      </c>
      <c r="J119" s="88" t="s">
        <v>66</v>
      </c>
      <c r="K119" s="8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" customHeight="1">
      <c r="A120" s="170"/>
      <c r="B120" s="129" t="s">
        <v>39</v>
      </c>
      <c r="C120" s="20" t="s">
        <v>27</v>
      </c>
      <c r="D120" s="19">
        <v>8</v>
      </c>
      <c r="E120" s="19" t="str">
        <f t="shared" si="15"/>
        <v>FE038000</v>
      </c>
      <c r="F120" s="19" t="str">
        <f t="shared" si="16"/>
        <v>FE039FFF</v>
      </c>
      <c r="G120" s="19" t="s">
        <v>146</v>
      </c>
      <c r="H120" s="19">
        <v>28</v>
      </c>
      <c r="I120" s="44" t="str">
        <f t="shared" si="14"/>
        <v>1C</v>
      </c>
      <c r="J120" s="88" t="s">
        <v>66</v>
      </c>
      <c r="K120" s="8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" customHeight="1">
      <c r="A121" s="170"/>
      <c r="B121" s="129" t="s">
        <v>39</v>
      </c>
      <c r="C121" s="20" t="s">
        <v>27</v>
      </c>
      <c r="D121" s="19">
        <v>8</v>
      </c>
      <c r="E121" s="19" t="str">
        <f t="shared" si="15"/>
        <v>FE036000</v>
      </c>
      <c r="F121" s="19" t="str">
        <f t="shared" si="16"/>
        <v>FE037FFF</v>
      </c>
      <c r="G121" s="19" t="s">
        <v>147</v>
      </c>
      <c r="H121" s="19">
        <v>27</v>
      </c>
      <c r="I121" s="44" t="str">
        <f t="shared" si="14"/>
        <v>1B</v>
      </c>
      <c r="J121" s="88" t="s">
        <v>66</v>
      </c>
      <c r="K121" s="8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" customHeight="1">
      <c r="A122" s="170"/>
      <c r="B122" s="129" t="s">
        <v>39</v>
      </c>
      <c r="C122" s="20" t="s">
        <v>27</v>
      </c>
      <c r="D122" s="19">
        <v>8</v>
      </c>
      <c r="E122" s="19" t="str">
        <f t="shared" si="15"/>
        <v>FE034000</v>
      </c>
      <c r="F122" s="19" t="str">
        <f t="shared" si="16"/>
        <v>FE035FFF</v>
      </c>
      <c r="G122" s="19" t="s">
        <v>148</v>
      </c>
      <c r="H122" s="19">
        <v>26</v>
      </c>
      <c r="I122" s="44" t="str">
        <f t="shared" si="14"/>
        <v>1A</v>
      </c>
      <c r="J122" s="88" t="s">
        <v>66</v>
      </c>
      <c r="K122" s="8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" customHeight="1">
      <c r="A123" s="170"/>
      <c r="B123" s="129" t="s">
        <v>39</v>
      </c>
      <c r="C123" s="20" t="s">
        <v>27</v>
      </c>
      <c r="D123" s="19">
        <v>8</v>
      </c>
      <c r="E123" s="19" t="str">
        <f t="shared" si="15"/>
        <v>FE032000</v>
      </c>
      <c r="F123" s="19" t="str">
        <f t="shared" si="16"/>
        <v>FE033FFF</v>
      </c>
      <c r="G123" s="19" t="s">
        <v>149</v>
      </c>
      <c r="H123" s="19">
        <v>25</v>
      </c>
      <c r="I123" s="44" t="str">
        <f t="shared" si="14"/>
        <v>19</v>
      </c>
      <c r="J123" s="88" t="s">
        <v>66</v>
      </c>
      <c r="K123" s="8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" customHeight="1">
      <c r="A124" s="170"/>
      <c r="B124" s="129" t="s">
        <v>39</v>
      </c>
      <c r="C124" s="20" t="s">
        <v>27</v>
      </c>
      <c r="D124" s="19">
        <v>8</v>
      </c>
      <c r="E124" s="19" t="str">
        <f t="shared" si="15"/>
        <v>FE030000</v>
      </c>
      <c r="F124" s="19" t="str">
        <f t="shared" si="16"/>
        <v>FE031FFF</v>
      </c>
      <c r="G124" s="19" t="s">
        <v>150</v>
      </c>
      <c r="H124" s="19">
        <v>24</v>
      </c>
      <c r="I124" s="44" t="str">
        <f t="shared" si="14"/>
        <v>18</v>
      </c>
      <c r="J124" s="88" t="s">
        <v>66</v>
      </c>
      <c r="K124" s="8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" customHeight="1">
      <c r="A125" s="170"/>
      <c r="B125" s="129" t="s">
        <v>39</v>
      </c>
      <c r="C125" s="20" t="s">
        <v>27</v>
      </c>
      <c r="D125" s="19">
        <v>8</v>
      </c>
      <c r="E125" s="19" t="str">
        <f t="shared" si="15"/>
        <v>FE02E000</v>
      </c>
      <c r="F125" s="19" t="str">
        <f t="shared" si="16"/>
        <v>FE02FFFF</v>
      </c>
      <c r="G125" s="19" t="s">
        <v>151</v>
      </c>
      <c r="H125" s="19">
        <v>23</v>
      </c>
      <c r="I125" s="44" t="str">
        <f t="shared" si="14"/>
        <v>17</v>
      </c>
      <c r="J125" s="88" t="s">
        <v>66</v>
      </c>
      <c r="K125" s="8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" customHeight="1">
      <c r="A126" s="170"/>
      <c r="B126" s="129" t="s">
        <v>39</v>
      </c>
      <c r="C126" s="20" t="s">
        <v>27</v>
      </c>
      <c r="D126" s="19">
        <v>8</v>
      </c>
      <c r="E126" s="19" t="str">
        <f t="shared" si="15"/>
        <v>FE02C000</v>
      </c>
      <c r="F126" s="19" t="str">
        <f t="shared" si="16"/>
        <v>FE02DFFF</v>
      </c>
      <c r="G126" s="19" t="s">
        <v>152</v>
      </c>
      <c r="H126" s="19">
        <v>22</v>
      </c>
      <c r="I126" s="44" t="str">
        <f t="shared" si="14"/>
        <v>16</v>
      </c>
      <c r="J126" s="88" t="s">
        <v>66</v>
      </c>
      <c r="K126" s="8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" customHeight="1">
      <c r="A127" s="170"/>
      <c r="B127" s="129" t="s">
        <v>39</v>
      </c>
      <c r="C127" s="20" t="s">
        <v>27</v>
      </c>
      <c r="D127" s="19">
        <v>8</v>
      </c>
      <c r="E127" s="19" t="str">
        <f t="shared" si="15"/>
        <v>FE02A000</v>
      </c>
      <c r="F127" s="19" t="str">
        <f t="shared" si="16"/>
        <v>FE02BFFF</v>
      </c>
      <c r="G127" s="19" t="s">
        <v>153</v>
      </c>
      <c r="H127" s="19">
        <v>21</v>
      </c>
      <c r="I127" s="44" t="str">
        <f t="shared" si="14"/>
        <v>15</v>
      </c>
      <c r="J127" s="88" t="s">
        <v>66</v>
      </c>
      <c r="K127" s="8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" customHeight="1">
      <c r="A128" s="170"/>
      <c r="B128" s="129" t="s">
        <v>39</v>
      </c>
      <c r="C128" s="20" t="s">
        <v>27</v>
      </c>
      <c r="D128" s="19">
        <v>8</v>
      </c>
      <c r="E128" s="19" t="str">
        <f t="shared" si="15"/>
        <v>FE028000</v>
      </c>
      <c r="F128" s="19" t="str">
        <f t="shared" si="16"/>
        <v>FE029FFF</v>
      </c>
      <c r="G128" s="19" t="s">
        <v>154</v>
      </c>
      <c r="H128" s="19">
        <v>20</v>
      </c>
      <c r="I128" s="44" t="str">
        <f t="shared" si="14"/>
        <v>14</v>
      </c>
      <c r="J128" s="88" t="s">
        <v>66</v>
      </c>
      <c r="K128" s="8"/>
      <c r="L128" s="1"/>
      <c r="M128" s="1"/>
      <c r="N128" s="1"/>
      <c r="R128" s="1"/>
      <c r="S128" s="1"/>
      <c r="T128" s="1"/>
      <c r="U128" s="1"/>
      <c r="V128" s="1"/>
      <c r="W128" s="1"/>
      <c r="X128" s="1"/>
    </row>
    <row r="129" spans="1:24" ht="15" customHeight="1">
      <c r="A129" s="170"/>
      <c r="B129" s="129" t="s">
        <v>39</v>
      </c>
      <c r="C129" s="15" t="s">
        <v>155</v>
      </c>
      <c r="D129" s="14">
        <v>8</v>
      </c>
      <c r="E129" s="28" t="str">
        <f t="shared" si="15"/>
        <v>FE026000</v>
      </c>
      <c r="F129" s="28" t="str">
        <f t="shared" si="16"/>
        <v>FE027FFF</v>
      </c>
      <c r="G129" s="14" t="s">
        <v>156</v>
      </c>
      <c r="H129" s="14">
        <v>19</v>
      </c>
      <c r="I129" s="35" t="str">
        <f t="shared" si="14"/>
        <v>13</v>
      </c>
      <c r="J129" s="90" t="s">
        <v>66</v>
      </c>
      <c r="K129" s="8"/>
      <c r="L129" s="115" t="s">
        <v>44</v>
      </c>
      <c r="M129" s="1"/>
      <c r="N129" s="1"/>
      <c r="O129" s="69" t="s">
        <v>157</v>
      </c>
      <c r="P129" s="69" t="s">
        <v>158</v>
      </c>
      <c r="Q129" s="69" t="s">
        <v>159</v>
      </c>
      <c r="R129" s="1"/>
      <c r="S129" s="1"/>
      <c r="T129" s="1"/>
      <c r="U129" s="1"/>
      <c r="V129" s="1"/>
      <c r="W129" s="1"/>
      <c r="X129" s="1"/>
    </row>
    <row r="130" spans="1:24" ht="15" customHeight="1">
      <c r="A130" s="170"/>
      <c r="B130" s="129" t="s">
        <v>39</v>
      </c>
      <c r="C130" s="66" t="s">
        <v>160</v>
      </c>
      <c r="D130" s="65">
        <v>8</v>
      </c>
      <c r="E130" s="65" t="str">
        <f t="shared" si="15"/>
        <v>FE024000</v>
      </c>
      <c r="F130" s="65" t="str">
        <f t="shared" si="16"/>
        <v>FE025FFF</v>
      </c>
      <c r="G130" s="65" t="s">
        <v>161</v>
      </c>
      <c r="H130" s="65">
        <v>18</v>
      </c>
      <c r="I130" s="78" t="str">
        <f t="shared" si="14"/>
        <v>12</v>
      </c>
      <c r="J130" s="91" t="s">
        <v>66</v>
      </c>
      <c r="K130" s="8"/>
      <c r="L130" s="115" t="s">
        <v>44</v>
      </c>
      <c r="M130" s="1"/>
      <c r="N130" s="70" t="s">
        <v>162</v>
      </c>
      <c r="O130" s="70" t="s">
        <v>163</v>
      </c>
      <c r="P130" s="70" t="s">
        <v>164</v>
      </c>
      <c r="Q130" s="70" t="s">
        <v>165</v>
      </c>
      <c r="R130" s="1"/>
      <c r="S130" s="1"/>
      <c r="T130" s="1"/>
      <c r="U130" s="1"/>
      <c r="V130" s="1"/>
      <c r="W130" s="1"/>
      <c r="X130" s="1"/>
    </row>
    <row r="131" spans="1:24" ht="15" customHeight="1">
      <c r="A131" s="170"/>
      <c r="B131" s="129" t="s">
        <v>39</v>
      </c>
      <c r="C131" s="66" t="s">
        <v>166</v>
      </c>
      <c r="D131" s="65">
        <v>8</v>
      </c>
      <c r="E131" s="65" t="str">
        <f t="shared" si="15"/>
        <v>FE022000</v>
      </c>
      <c r="F131" s="65" t="str">
        <f t="shared" si="16"/>
        <v>FE023FFF</v>
      </c>
      <c r="G131" s="65" t="s">
        <v>167</v>
      </c>
      <c r="H131" s="65">
        <v>17</v>
      </c>
      <c r="I131" s="78" t="str">
        <f t="shared" si="14"/>
        <v>11</v>
      </c>
      <c r="J131" s="91" t="s">
        <v>66</v>
      </c>
      <c r="K131" s="8"/>
      <c r="L131" s="115" t="s">
        <v>44</v>
      </c>
      <c r="M131" s="1"/>
      <c r="N131" s="70" t="s">
        <v>168</v>
      </c>
      <c r="O131" s="70" t="s">
        <v>163</v>
      </c>
      <c r="P131" s="70" t="s">
        <v>169</v>
      </c>
      <c r="Q131" s="70" t="s">
        <v>170</v>
      </c>
      <c r="R131" s="1"/>
      <c r="S131" s="1"/>
      <c r="T131" s="1"/>
      <c r="U131" s="1"/>
      <c r="V131" s="1"/>
      <c r="W131" s="1"/>
      <c r="X131" s="1"/>
    </row>
    <row r="132" spans="1:24" ht="15" customHeight="1">
      <c r="A132" s="170"/>
      <c r="B132" s="129" t="s">
        <v>39</v>
      </c>
      <c r="C132" s="66" t="s">
        <v>171</v>
      </c>
      <c r="D132" s="66">
        <v>8</v>
      </c>
      <c r="E132" s="77" t="str">
        <f t="shared" si="15"/>
        <v>FE020000</v>
      </c>
      <c r="F132" s="77" t="str">
        <f t="shared" si="16"/>
        <v>FE021FFF</v>
      </c>
      <c r="G132" s="66" t="s">
        <v>172</v>
      </c>
      <c r="H132" s="65">
        <v>16</v>
      </c>
      <c r="I132" s="78" t="str">
        <f t="shared" si="14"/>
        <v>10</v>
      </c>
      <c r="J132" s="91" t="s">
        <v>66</v>
      </c>
      <c r="K132" s="8"/>
      <c r="L132" s="115" t="s">
        <v>44</v>
      </c>
      <c r="M132" s="1"/>
      <c r="N132" s="70" t="s">
        <v>173</v>
      </c>
      <c r="O132" s="70" t="s">
        <v>163</v>
      </c>
      <c r="P132" s="70" t="s">
        <v>174</v>
      </c>
      <c r="Q132" s="70" t="s">
        <v>175</v>
      </c>
      <c r="R132" s="1"/>
      <c r="S132" s="1"/>
      <c r="T132" s="1"/>
      <c r="U132" s="1"/>
      <c r="V132" s="1"/>
      <c r="W132" s="1"/>
      <c r="X132" s="1"/>
    </row>
    <row r="133" spans="1:24" ht="15" customHeight="1">
      <c r="A133" s="170"/>
      <c r="B133" s="129" t="s">
        <v>39</v>
      </c>
      <c r="C133" s="73" t="s">
        <v>176</v>
      </c>
      <c r="D133" s="73">
        <v>8</v>
      </c>
      <c r="E133" s="73" t="str">
        <f t="shared" si="15"/>
        <v>FE01E000</v>
      </c>
      <c r="F133" s="73" t="str">
        <f t="shared" si="16"/>
        <v>FE01FFFF</v>
      </c>
      <c r="G133" s="73" t="s">
        <v>177</v>
      </c>
      <c r="H133" s="73">
        <v>15</v>
      </c>
      <c r="I133" s="74" t="str">
        <f t="shared" ref="I133:I148" si="17">DEC2HEX(H133)</f>
        <v>F</v>
      </c>
      <c r="J133" s="92" t="s">
        <v>66</v>
      </c>
      <c r="K133" s="75"/>
      <c r="L133" s="115" t="s">
        <v>44</v>
      </c>
      <c r="M133" s="76"/>
      <c r="N133" s="70" t="s">
        <v>178</v>
      </c>
      <c r="O133" s="70" t="s">
        <v>163</v>
      </c>
      <c r="P133" s="70" t="s">
        <v>179</v>
      </c>
      <c r="Q133" s="70" t="s">
        <v>180</v>
      </c>
      <c r="R133" s="1"/>
      <c r="S133" s="1"/>
      <c r="T133" s="1"/>
      <c r="U133" s="1"/>
      <c r="V133" s="1"/>
      <c r="W133" s="1"/>
      <c r="X133" s="1"/>
    </row>
    <row r="134" spans="1:24" ht="15" customHeight="1">
      <c r="A134" s="170"/>
      <c r="B134" s="129" t="s">
        <v>39</v>
      </c>
      <c r="C134" s="30" t="s">
        <v>181</v>
      </c>
      <c r="D134" s="31">
        <v>8</v>
      </c>
      <c r="E134" s="31" t="str">
        <f t="shared" si="15"/>
        <v>FE01C000</v>
      </c>
      <c r="F134" s="31" t="str">
        <f t="shared" si="16"/>
        <v>FE01DFFF</v>
      </c>
      <c r="G134" s="31" t="s">
        <v>182</v>
      </c>
      <c r="H134" s="31">
        <v>14</v>
      </c>
      <c r="I134" s="59" t="str">
        <f t="shared" si="17"/>
        <v>E</v>
      </c>
      <c r="J134" s="163" t="s">
        <v>66</v>
      </c>
      <c r="K134" s="8"/>
      <c r="L134" s="115" t="s">
        <v>44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" customHeight="1">
      <c r="A135" s="170"/>
      <c r="B135" s="129" t="s">
        <v>39</v>
      </c>
      <c r="C135" s="20" t="s">
        <v>27</v>
      </c>
      <c r="D135" s="19">
        <v>8</v>
      </c>
      <c r="E135" s="19" t="str">
        <f t="shared" si="15"/>
        <v>FE01A000</v>
      </c>
      <c r="F135" s="19" t="str">
        <f t="shared" si="16"/>
        <v>FE01BFFF</v>
      </c>
      <c r="G135" s="19" t="s">
        <v>183</v>
      </c>
      <c r="H135" s="19">
        <v>13</v>
      </c>
      <c r="I135" s="44" t="str">
        <f t="shared" si="17"/>
        <v>D</v>
      </c>
      <c r="J135" s="88" t="s">
        <v>66</v>
      </c>
      <c r="K135" s="8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" customHeight="1">
      <c r="A136" s="170"/>
      <c r="B136" s="129" t="s">
        <v>39</v>
      </c>
      <c r="C136" s="20" t="s">
        <v>27</v>
      </c>
      <c r="D136" s="20">
        <v>8</v>
      </c>
      <c r="E136" s="19" t="str">
        <f t="shared" si="15"/>
        <v>FE018000</v>
      </c>
      <c r="F136" s="19" t="str">
        <f t="shared" si="16"/>
        <v>FE019FFF</v>
      </c>
      <c r="G136" s="20" t="s">
        <v>184</v>
      </c>
      <c r="H136" s="19">
        <v>12</v>
      </c>
      <c r="I136" s="44" t="str">
        <f t="shared" si="17"/>
        <v>C</v>
      </c>
      <c r="J136" s="88" t="s">
        <v>66</v>
      </c>
      <c r="K136" s="8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" customHeight="1">
      <c r="A137" s="170"/>
      <c r="B137" s="130" t="s">
        <v>185</v>
      </c>
      <c r="C137" s="66" t="s">
        <v>186</v>
      </c>
      <c r="D137" s="66">
        <v>8</v>
      </c>
      <c r="E137" s="65" t="str">
        <f t="shared" si="15"/>
        <v>FE016000</v>
      </c>
      <c r="F137" s="65" t="str">
        <f t="shared" si="16"/>
        <v>FE017FFF</v>
      </c>
      <c r="G137" s="66" t="s">
        <v>187</v>
      </c>
      <c r="H137" s="65">
        <v>11</v>
      </c>
      <c r="I137" s="78" t="str">
        <f t="shared" si="17"/>
        <v>B</v>
      </c>
      <c r="J137" s="91" t="s">
        <v>66</v>
      </c>
      <c r="K137" s="111" t="s">
        <v>83</v>
      </c>
      <c r="L137" s="110" t="s">
        <v>51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" customHeight="1">
      <c r="A138" s="170"/>
      <c r="B138" s="129" t="s">
        <v>39</v>
      </c>
      <c r="C138" s="28" t="s">
        <v>188</v>
      </c>
      <c r="D138" s="27">
        <v>8</v>
      </c>
      <c r="E138" s="28" t="str">
        <f t="shared" si="15"/>
        <v>FE014000</v>
      </c>
      <c r="F138" s="28" t="str">
        <f t="shared" si="16"/>
        <v>FE015FFF</v>
      </c>
      <c r="G138" s="27" t="s">
        <v>189</v>
      </c>
      <c r="H138" s="28">
        <v>10</v>
      </c>
      <c r="I138" s="46" t="str">
        <f t="shared" si="17"/>
        <v>A</v>
      </c>
      <c r="J138" s="89" t="s">
        <v>66</v>
      </c>
      <c r="K138" s="8"/>
      <c r="L138" s="115" t="s">
        <v>44</v>
      </c>
      <c r="M138" s="1"/>
      <c r="N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" customHeight="1">
      <c r="A139" s="170"/>
      <c r="B139" s="129" t="s">
        <v>39</v>
      </c>
      <c r="C139" s="20" t="s">
        <v>27</v>
      </c>
      <c r="D139" s="19">
        <v>8</v>
      </c>
      <c r="E139" s="19" t="str">
        <f t="shared" si="15"/>
        <v>FE012000</v>
      </c>
      <c r="F139" s="19" t="str">
        <f t="shared" si="16"/>
        <v>FE013FFF</v>
      </c>
      <c r="G139" s="19" t="s">
        <v>190</v>
      </c>
      <c r="H139" s="19">
        <v>9</v>
      </c>
      <c r="I139" s="44" t="str">
        <f t="shared" si="17"/>
        <v>9</v>
      </c>
      <c r="J139" s="88" t="s">
        <v>66</v>
      </c>
      <c r="K139" s="8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" customHeight="1">
      <c r="A140" s="170"/>
      <c r="B140" s="129" t="s">
        <v>39</v>
      </c>
      <c r="C140" s="15" t="s">
        <v>191</v>
      </c>
      <c r="D140" s="14">
        <v>8</v>
      </c>
      <c r="E140" s="28" t="str">
        <f t="shared" si="15"/>
        <v>FE010000</v>
      </c>
      <c r="F140" s="28" t="str">
        <f t="shared" si="16"/>
        <v>FE011FFF</v>
      </c>
      <c r="G140" s="14" t="s">
        <v>192</v>
      </c>
      <c r="H140" s="14">
        <v>8</v>
      </c>
      <c r="I140" s="35" t="str">
        <f t="shared" si="17"/>
        <v>8</v>
      </c>
      <c r="J140" s="90" t="s">
        <v>66</v>
      </c>
      <c r="K140" s="8"/>
      <c r="L140" s="115" t="s">
        <v>44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" customHeight="1">
      <c r="A141" s="170"/>
      <c r="B141" s="129" t="s">
        <v>39</v>
      </c>
      <c r="C141" s="20" t="s">
        <v>27</v>
      </c>
      <c r="D141" s="19">
        <v>8</v>
      </c>
      <c r="E141" s="19" t="str">
        <f t="shared" si="15"/>
        <v>FE00E000</v>
      </c>
      <c r="F141" s="19" t="str">
        <f t="shared" si="16"/>
        <v>FE00FFFF</v>
      </c>
      <c r="G141" s="19" t="s">
        <v>193</v>
      </c>
      <c r="H141" s="19">
        <v>7</v>
      </c>
      <c r="I141" s="44" t="str">
        <f t="shared" si="17"/>
        <v>7</v>
      </c>
      <c r="J141" s="88" t="s">
        <v>66</v>
      </c>
      <c r="K141" s="8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" customHeight="1">
      <c r="A142" s="170"/>
      <c r="B142" s="129" t="s">
        <v>39</v>
      </c>
      <c r="C142" s="15" t="s">
        <v>194</v>
      </c>
      <c r="D142" s="14">
        <v>8</v>
      </c>
      <c r="E142" s="28" t="str">
        <f t="shared" si="15"/>
        <v>FE00C000</v>
      </c>
      <c r="F142" s="28" t="str">
        <f t="shared" si="16"/>
        <v>FE00DFFF</v>
      </c>
      <c r="G142" s="14" t="s">
        <v>195</v>
      </c>
      <c r="H142" s="14">
        <v>6</v>
      </c>
      <c r="I142" s="35" t="str">
        <f t="shared" si="17"/>
        <v>6</v>
      </c>
      <c r="J142" s="90" t="s">
        <v>66</v>
      </c>
      <c r="K142" s="8"/>
      <c r="L142" s="115" t="s">
        <v>44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" customHeight="1">
      <c r="A143" s="170"/>
      <c r="B143" s="129" t="s">
        <v>39</v>
      </c>
      <c r="C143" s="15" t="s">
        <v>196</v>
      </c>
      <c r="D143" s="14">
        <v>8</v>
      </c>
      <c r="E143" s="28" t="str">
        <f t="shared" si="15"/>
        <v>FE00A000</v>
      </c>
      <c r="F143" s="28" t="str">
        <f t="shared" si="16"/>
        <v>FE00BFFF</v>
      </c>
      <c r="G143" s="14" t="s">
        <v>197</v>
      </c>
      <c r="H143" s="14">
        <v>5</v>
      </c>
      <c r="I143" s="35" t="str">
        <f t="shared" si="17"/>
        <v>5</v>
      </c>
      <c r="J143" s="90" t="s">
        <v>66</v>
      </c>
      <c r="K143" s="111"/>
      <c r="L143" s="115" t="s">
        <v>44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" customHeight="1">
      <c r="A144" s="170"/>
      <c r="B144" s="129" t="s">
        <v>39</v>
      </c>
      <c r="C144" s="31" t="s">
        <v>198</v>
      </c>
      <c r="D144" s="31">
        <v>8</v>
      </c>
      <c r="E144" s="31" t="str">
        <f t="shared" si="15"/>
        <v>FE008000</v>
      </c>
      <c r="F144" s="31" t="str">
        <f t="shared" si="16"/>
        <v>FE009FFF</v>
      </c>
      <c r="G144" s="31" t="s">
        <v>199</v>
      </c>
      <c r="H144" s="31">
        <v>4</v>
      </c>
      <c r="I144" s="59" t="str">
        <f t="shared" si="17"/>
        <v>4</v>
      </c>
      <c r="J144" s="88" t="s">
        <v>66</v>
      </c>
      <c r="K144" s="84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" customHeight="1">
      <c r="A145" s="170"/>
      <c r="B145" s="129" t="s">
        <v>39</v>
      </c>
      <c r="C145" s="31" t="s">
        <v>200</v>
      </c>
      <c r="D145" s="31">
        <v>8</v>
      </c>
      <c r="E145" s="31" t="str">
        <f t="shared" si="15"/>
        <v>FE006000</v>
      </c>
      <c r="F145" s="31" t="str">
        <f t="shared" si="16"/>
        <v>FE007FFF</v>
      </c>
      <c r="G145" s="31" t="s">
        <v>201</v>
      </c>
      <c r="H145" s="31">
        <v>3</v>
      </c>
      <c r="I145" s="59" t="str">
        <f t="shared" si="17"/>
        <v>3</v>
      </c>
      <c r="J145" s="163" t="s">
        <v>66</v>
      </c>
      <c r="K145" s="8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" customHeight="1">
      <c r="A146" s="170"/>
      <c r="B146" s="129" t="s">
        <v>39</v>
      </c>
      <c r="C146" s="15" t="s">
        <v>202</v>
      </c>
      <c r="D146" s="14">
        <v>8</v>
      </c>
      <c r="E146" s="28" t="str">
        <f t="shared" si="15"/>
        <v>FE004000</v>
      </c>
      <c r="F146" s="28" t="str">
        <f t="shared" si="16"/>
        <v>FE005FFF</v>
      </c>
      <c r="G146" s="14" t="s">
        <v>203</v>
      </c>
      <c r="H146" s="14">
        <v>2</v>
      </c>
      <c r="I146" s="35" t="str">
        <f t="shared" si="17"/>
        <v>2</v>
      </c>
      <c r="J146" s="90" t="s">
        <v>66</v>
      </c>
      <c r="K146" s="8"/>
      <c r="L146" s="115" t="s">
        <v>44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" customHeight="1">
      <c r="A147" s="170"/>
      <c r="B147" s="129" t="s">
        <v>39</v>
      </c>
      <c r="C147" s="15" t="s">
        <v>204</v>
      </c>
      <c r="D147" s="14">
        <v>8</v>
      </c>
      <c r="E147" s="28" t="str">
        <f t="shared" si="15"/>
        <v>FE002000</v>
      </c>
      <c r="F147" s="28" t="str">
        <f t="shared" si="16"/>
        <v>FE003FFF</v>
      </c>
      <c r="G147" s="14" t="s">
        <v>205</v>
      </c>
      <c r="H147" s="14">
        <v>1</v>
      </c>
      <c r="I147" s="35" t="str">
        <f t="shared" si="17"/>
        <v>1</v>
      </c>
      <c r="J147" s="90" t="s">
        <v>66</v>
      </c>
      <c r="K147" s="8"/>
      <c r="L147" s="115" t="s">
        <v>44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" customHeight="1">
      <c r="A148" s="170"/>
      <c r="B148" s="129" t="s">
        <v>39</v>
      </c>
      <c r="C148" s="15" t="s">
        <v>206</v>
      </c>
      <c r="D148" s="14">
        <v>8</v>
      </c>
      <c r="E148" s="28" t="str">
        <f t="shared" si="15"/>
        <v>FE000000</v>
      </c>
      <c r="F148" s="28" t="str">
        <f t="shared" si="16"/>
        <v>FE001FFF</v>
      </c>
      <c r="G148" s="14" t="s">
        <v>207</v>
      </c>
      <c r="H148" s="14">
        <v>0</v>
      </c>
      <c r="I148" s="35" t="str">
        <f t="shared" si="17"/>
        <v>0</v>
      </c>
      <c r="J148" s="90" t="s">
        <v>66</v>
      </c>
      <c r="K148" s="8"/>
      <c r="L148" s="115" t="s">
        <v>44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" customHeight="1">
      <c r="A149" s="176" t="s">
        <v>22</v>
      </c>
      <c r="B149" s="124" t="s">
        <v>23</v>
      </c>
      <c r="C149" s="16" t="s">
        <v>27</v>
      </c>
      <c r="D149" s="19">
        <f>1024</f>
        <v>1024</v>
      </c>
      <c r="E149" s="19" t="str">
        <f t="shared" si="15"/>
        <v>FDF00000</v>
      </c>
      <c r="F149" s="19" t="str">
        <f t="shared" si="16"/>
        <v>FDFFFFFF</v>
      </c>
      <c r="G149" s="19" t="s">
        <v>33</v>
      </c>
      <c r="H149" s="19"/>
      <c r="I149" s="44"/>
      <c r="J149" s="88"/>
      <c r="K149" s="8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" customHeight="1">
      <c r="A150" s="177"/>
      <c r="B150" s="124" t="s">
        <v>23</v>
      </c>
      <c r="C150" s="16" t="s">
        <v>27</v>
      </c>
      <c r="D150" s="19">
        <v>1024</v>
      </c>
      <c r="E150" s="19" t="str">
        <f t="shared" si="15"/>
        <v>FDE00000</v>
      </c>
      <c r="F150" s="19" t="str">
        <f t="shared" si="16"/>
        <v>FDEFFFFF</v>
      </c>
      <c r="G150" s="19" t="s">
        <v>33</v>
      </c>
      <c r="H150" s="19"/>
      <c r="I150" s="44"/>
      <c r="J150" s="88"/>
      <c r="K150" s="8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" customHeight="1">
      <c r="A151" s="177"/>
      <c r="B151" s="124" t="s">
        <v>23</v>
      </c>
      <c r="C151" s="16" t="s">
        <v>27</v>
      </c>
      <c r="D151" s="19">
        <v>1024</v>
      </c>
      <c r="E151" s="19" t="str">
        <f t="shared" si="15"/>
        <v>FDD00000</v>
      </c>
      <c r="F151" s="19" t="str">
        <f t="shared" si="16"/>
        <v>FDDFFFFF</v>
      </c>
      <c r="G151" s="19" t="s">
        <v>33</v>
      </c>
      <c r="H151" s="19"/>
      <c r="I151" s="44"/>
      <c r="J151" s="88"/>
      <c r="K151" s="8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" customHeight="1">
      <c r="A152" s="177"/>
      <c r="B152" s="124" t="s">
        <v>23</v>
      </c>
      <c r="C152" s="16" t="s">
        <v>27</v>
      </c>
      <c r="D152" s="19">
        <f>1024-64</f>
        <v>960</v>
      </c>
      <c r="E152" s="19" t="str">
        <f t="shared" si="15"/>
        <v>FDC10000</v>
      </c>
      <c r="F152" s="19" t="str">
        <f t="shared" si="16"/>
        <v>FDCFFFFF</v>
      </c>
      <c r="G152" s="19"/>
      <c r="H152" s="19"/>
      <c r="I152" s="44"/>
      <c r="J152" s="88"/>
      <c r="K152" s="8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" customHeight="1">
      <c r="A153" s="177"/>
      <c r="B153" s="124" t="s">
        <v>23</v>
      </c>
      <c r="C153" s="16" t="s">
        <v>27</v>
      </c>
      <c r="D153" s="19">
        <v>64</v>
      </c>
      <c r="E153" s="19" t="str">
        <f t="shared" si="15"/>
        <v>FDC00000</v>
      </c>
      <c r="F153" s="19" t="str">
        <f t="shared" si="16"/>
        <v>FDC0FFFF</v>
      </c>
      <c r="G153" s="19" t="s">
        <v>35</v>
      </c>
      <c r="H153" s="19"/>
      <c r="I153" s="44"/>
      <c r="J153" s="88"/>
      <c r="K153" s="8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" customHeight="1">
      <c r="A154" s="177"/>
      <c r="B154" s="124" t="s">
        <v>23</v>
      </c>
      <c r="C154" s="16" t="s">
        <v>27</v>
      </c>
      <c r="D154" s="20">
        <f>1024-256</f>
        <v>768</v>
      </c>
      <c r="E154" s="19" t="str">
        <f t="shared" si="15"/>
        <v>FDB40000</v>
      </c>
      <c r="F154" s="19" t="str">
        <f t="shared" si="16"/>
        <v>FDBFFFFF</v>
      </c>
      <c r="G154" s="19"/>
      <c r="H154" s="19"/>
      <c r="I154" s="44"/>
      <c r="J154" s="88"/>
      <c r="K154" s="8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" customHeight="1">
      <c r="A155" s="177"/>
      <c r="B155" s="124" t="s">
        <v>23</v>
      </c>
      <c r="C155" s="16" t="s">
        <v>27</v>
      </c>
      <c r="D155" s="20">
        <v>256</v>
      </c>
      <c r="E155" s="19" t="str">
        <f t="shared" si="15"/>
        <v>FDB00000</v>
      </c>
      <c r="F155" s="19" t="str">
        <f t="shared" si="16"/>
        <v>FDB3FFFF</v>
      </c>
      <c r="G155" s="20" t="s">
        <v>34</v>
      </c>
      <c r="H155" s="19"/>
      <c r="I155" s="44"/>
      <c r="J155" s="88"/>
      <c r="K155" s="8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" customHeight="1">
      <c r="A156" s="177"/>
      <c r="B156" s="124" t="s">
        <v>23</v>
      </c>
      <c r="C156" s="16" t="s">
        <v>27</v>
      </c>
      <c r="D156" s="19">
        <f>6*1024</f>
        <v>6144</v>
      </c>
      <c r="E156" s="19" t="str">
        <f t="shared" si="15"/>
        <v>FD500000</v>
      </c>
      <c r="F156" s="19" t="str">
        <f t="shared" si="16"/>
        <v>FDAFFFFF</v>
      </c>
      <c r="G156" s="20" t="s">
        <v>208</v>
      </c>
      <c r="H156" s="19"/>
      <c r="I156" s="44"/>
      <c r="J156" s="88"/>
      <c r="K156" s="8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" customHeight="1">
      <c r="A157" s="177"/>
      <c r="B157" s="124" t="s">
        <v>23</v>
      </c>
      <c r="C157" s="16" t="s">
        <v>27</v>
      </c>
      <c r="D157" s="20">
        <v>1024</v>
      </c>
      <c r="E157" s="19" t="str">
        <f t="shared" si="15"/>
        <v>FD400000</v>
      </c>
      <c r="F157" s="19" t="str">
        <f t="shared" si="16"/>
        <v>FD4FFFFF</v>
      </c>
      <c r="G157" s="20" t="s">
        <v>33</v>
      </c>
      <c r="H157" s="19"/>
      <c r="I157" s="44"/>
      <c r="J157" s="88"/>
      <c r="K157" s="8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" customHeight="1">
      <c r="A158" s="177"/>
      <c r="B158" s="124" t="s">
        <v>23</v>
      </c>
      <c r="C158" s="20" t="s">
        <v>27</v>
      </c>
      <c r="D158" s="20">
        <v>1024</v>
      </c>
      <c r="E158" s="19" t="str">
        <f t="shared" si="15"/>
        <v>FD300000</v>
      </c>
      <c r="F158" s="19" t="str">
        <f t="shared" si="16"/>
        <v>FD3FFFFF</v>
      </c>
      <c r="G158" s="20" t="s">
        <v>33</v>
      </c>
      <c r="H158" s="19"/>
      <c r="I158" s="44"/>
      <c r="J158" s="88"/>
      <c r="K158" s="8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" customHeight="1">
      <c r="A159" s="177"/>
      <c r="B159" s="124" t="s">
        <v>23</v>
      </c>
      <c r="C159" s="20" t="s">
        <v>27</v>
      </c>
      <c r="D159" s="20">
        <v>1024</v>
      </c>
      <c r="E159" s="19" t="str">
        <f t="shared" si="15"/>
        <v>FD200000</v>
      </c>
      <c r="F159" s="19" t="str">
        <f t="shared" si="16"/>
        <v>FD2FFFFF</v>
      </c>
      <c r="G159" s="20" t="s">
        <v>33</v>
      </c>
      <c r="H159" s="19"/>
      <c r="I159" s="44"/>
      <c r="J159" s="88"/>
      <c r="K159" s="8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" customHeight="1">
      <c r="A160" s="177"/>
      <c r="B160" s="124" t="s">
        <v>23</v>
      </c>
      <c r="C160" s="20" t="s">
        <v>27</v>
      </c>
      <c r="D160" s="20">
        <v>1024</v>
      </c>
      <c r="E160" s="19" t="str">
        <f t="shared" si="15"/>
        <v>FD100000</v>
      </c>
      <c r="F160" s="19" t="str">
        <f t="shared" si="16"/>
        <v>FD1FFFFF</v>
      </c>
      <c r="G160" s="20" t="s">
        <v>33</v>
      </c>
      <c r="H160" s="19"/>
      <c r="I160" s="44"/>
      <c r="J160" s="88"/>
      <c r="K160" s="8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" customHeight="1">
      <c r="A161" s="177"/>
      <c r="B161" s="124" t="s">
        <v>23</v>
      </c>
      <c r="C161" s="20" t="s">
        <v>27</v>
      </c>
      <c r="D161" s="20">
        <v>1024</v>
      </c>
      <c r="E161" s="19" t="str">
        <f t="shared" si="15"/>
        <v>FD000000</v>
      </c>
      <c r="F161" s="19" t="str">
        <f t="shared" si="16"/>
        <v>FD0FFFFF</v>
      </c>
      <c r="G161" s="20" t="s">
        <v>33</v>
      </c>
      <c r="H161" s="19"/>
      <c r="I161" s="44"/>
      <c r="J161" s="88"/>
      <c r="K161" s="8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" customHeight="1">
      <c r="A162" s="177"/>
      <c r="B162" s="124" t="s">
        <v>23</v>
      </c>
      <c r="C162" s="20" t="s">
        <v>27</v>
      </c>
      <c r="D162" s="19">
        <v>16384</v>
      </c>
      <c r="E162" s="19" t="str">
        <f t="shared" si="15"/>
        <v>FC000000</v>
      </c>
      <c r="F162" s="19" t="str">
        <f t="shared" si="16"/>
        <v>FCFFFFFF</v>
      </c>
      <c r="G162" s="20" t="s">
        <v>209</v>
      </c>
      <c r="H162" s="19"/>
      <c r="I162" s="44"/>
      <c r="J162" s="88"/>
      <c r="K162" s="8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" customHeight="1">
      <c r="A163" s="177"/>
      <c r="B163" s="124" t="s">
        <v>23</v>
      </c>
      <c r="C163" s="20" t="s">
        <v>27</v>
      </c>
      <c r="D163" s="19">
        <v>16384</v>
      </c>
      <c r="E163" s="19" t="str">
        <f t="shared" si="15"/>
        <v>FB000000</v>
      </c>
      <c r="F163" s="19" t="str">
        <f t="shared" si="16"/>
        <v>FBFFFFFF</v>
      </c>
      <c r="G163" s="20" t="s">
        <v>209</v>
      </c>
      <c r="H163" s="19"/>
      <c r="I163" s="44"/>
      <c r="J163" s="88"/>
      <c r="K163" s="8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" customHeight="1">
      <c r="A164" s="178"/>
      <c r="B164" s="124" t="s">
        <v>23</v>
      </c>
      <c r="C164" s="16" t="s">
        <v>27</v>
      </c>
      <c r="D164" s="19">
        <v>16384</v>
      </c>
      <c r="E164" s="19" t="str">
        <f t="shared" si="15"/>
        <v>FA000000</v>
      </c>
      <c r="F164" s="19" t="str">
        <f t="shared" si="16"/>
        <v>FAFFFFFF</v>
      </c>
      <c r="G164" s="19" t="s">
        <v>209</v>
      </c>
      <c r="H164" s="19"/>
      <c r="I164" s="44"/>
      <c r="J164" s="88"/>
      <c r="K164" s="8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" customHeight="1">
      <c r="A165" s="131" t="s">
        <v>210</v>
      </c>
      <c r="B165" s="112"/>
      <c r="C165" s="65" t="s">
        <v>210</v>
      </c>
      <c r="D165" s="113">
        <v>32768</v>
      </c>
      <c r="E165" s="65" t="str">
        <f t="shared" ref="E165:E175" si="18">DEC2HEX(HEX2DEC(F165)-D165*1024+1)</f>
        <v>F8000000</v>
      </c>
      <c r="F165" s="65" t="str">
        <f t="shared" ref="F165:F175" si="19">DEC2HEX(HEX2DEC(F164)-D164*1024)</f>
        <v>F9FFFFFF</v>
      </c>
      <c r="G165" s="66" t="s">
        <v>211</v>
      </c>
      <c r="H165" s="65"/>
      <c r="I165" s="78"/>
      <c r="J165" s="90" t="s">
        <v>66</v>
      </c>
      <c r="K165" s="8" t="s">
        <v>212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" customHeight="1">
      <c r="A166" s="139"/>
      <c r="B166" s="93"/>
      <c r="C166" s="16" t="s">
        <v>27</v>
      </c>
      <c r="D166" s="19">
        <f>16384-2048</f>
        <v>14336</v>
      </c>
      <c r="E166" s="19" t="str">
        <f t="shared" si="18"/>
        <v>F7200000</v>
      </c>
      <c r="F166" s="19" t="str">
        <f t="shared" si="19"/>
        <v>F7FFFFFF</v>
      </c>
      <c r="G166" s="20" t="s">
        <v>213</v>
      </c>
      <c r="H166" s="19"/>
      <c r="I166" s="44"/>
      <c r="J166" s="88"/>
      <c r="K166" s="8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" customHeight="1">
      <c r="A167" s="167" t="s">
        <v>214</v>
      </c>
      <c r="B167" s="112" t="s">
        <v>215</v>
      </c>
      <c r="C167" s="66" t="s">
        <v>216</v>
      </c>
      <c r="D167" s="66">
        <v>1024</v>
      </c>
      <c r="E167" s="65" t="str">
        <f t="shared" si="18"/>
        <v>F7100000</v>
      </c>
      <c r="F167" s="65" t="str">
        <f t="shared" si="19"/>
        <v>F71FFFFF</v>
      </c>
      <c r="G167" s="66" t="s">
        <v>33</v>
      </c>
      <c r="H167" s="65"/>
      <c r="I167" s="78"/>
      <c r="J167" s="91" t="s">
        <v>42</v>
      </c>
      <c r="K167" s="8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" customHeight="1">
      <c r="A168" s="168"/>
      <c r="B168" s="93"/>
      <c r="C168" s="20" t="s">
        <v>27</v>
      </c>
      <c r="D168" s="20">
        <v>960</v>
      </c>
      <c r="E168" s="19" t="str">
        <f t="shared" si="18"/>
        <v>F7010000</v>
      </c>
      <c r="F168" s="19" t="str">
        <f t="shared" si="19"/>
        <v>F70FFFFF</v>
      </c>
      <c r="G168" s="19"/>
      <c r="H168" s="19"/>
      <c r="I168" s="44"/>
      <c r="J168" s="88"/>
      <c r="K168" s="8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" customHeight="1">
      <c r="A169" s="168"/>
      <c r="B169" s="93"/>
      <c r="C169" s="20" t="s">
        <v>27</v>
      </c>
      <c r="D169" s="20">
        <v>48</v>
      </c>
      <c r="E169" s="19" t="str">
        <f t="shared" si="18"/>
        <v>F7004000</v>
      </c>
      <c r="F169" s="19" t="str">
        <f t="shared" si="19"/>
        <v>F700FFFF</v>
      </c>
      <c r="G169" s="19" t="s">
        <v>217</v>
      </c>
      <c r="H169" s="19"/>
      <c r="I169" s="44"/>
      <c r="J169" s="88"/>
      <c r="K169" s="8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" customHeight="1">
      <c r="A170" s="168"/>
      <c r="B170" s="94" t="s">
        <v>218</v>
      </c>
      <c r="C170" s="24" t="s">
        <v>219</v>
      </c>
      <c r="D170" s="24">
        <v>16</v>
      </c>
      <c r="E170" s="65" t="str">
        <f t="shared" si="18"/>
        <v>F7000000</v>
      </c>
      <c r="F170" s="65" t="str">
        <f t="shared" si="19"/>
        <v>F7003FFF</v>
      </c>
      <c r="G170" s="24" t="s">
        <v>220</v>
      </c>
      <c r="H170" s="14"/>
      <c r="I170" s="35"/>
      <c r="J170" s="90" t="s">
        <v>66</v>
      </c>
      <c r="K170" s="8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" customHeight="1">
      <c r="A171" s="168"/>
      <c r="B171" s="93"/>
      <c r="C171" s="20" t="s">
        <v>27</v>
      </c>
      <c r="D171" s="20">
        <v>32768</v>
      </c>
      <c r="E171" s="19" t="str">
        <f t="shared" si="18"/>
        <v>F5000000</v>
      </c>
      <c r="F171" s="19" t="str">
        <f t="shared" si="19"/>
        <v>F6FFFFFF</v>
      </c>
      <c r="G171" s="19" t="s">
        <v>221</v>
      </c>
      <c r="H171" s="19"/>
      <c r="I171" s="44"/>
      <c r="J171" s="88"/>
      <c r="K171" s="8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" customHeight="1">
      <c r="A172" s="168"/>
      <c r="B172" s="112"/>
      <c r="C172" s="66" t="s">
        <v>222</v>
      </c>
      <c r="D172" s="66">
        <v>1024</v>
      </c>
      <c r="E172" s="65" t="str">
        <f t="shared" si="18"/>
        <v>F4F00000</v>
      </c>
      <c r="F172" s="65" t="str">
        <f t="shared" si="19"/>
        <v>F4FFFFFF</v>
      </c>
      <c r="G172" s="65" t="s">
        <v>33</v>
      </c>
      <c r="H172" s="65"/>
      <c r="I172" s="78"/>
      <c r="J172" s="91" t="s">
        <v>42</v>
      </c>
      <c r="K172" s="8" t="s">
        <v>223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" customHeight="1">
      <c r="A173" s="168"/>
      <c r="B173" s="93"/>
      <c r="C173" s="20" t="s">
        <v>27</v>
      </c>
      <c r="D173" s="20">
        <v>13312</v>
      </c>
      <c r="E173" s="19" t="str">
        <f t="shared" si="18"/>
        <v>F4200000</v>
      </c>
      <c r="F173" s="19" t="str">
        <f t="shared" si="19"/>
        <v>F4EFFFFF</v>
      </c>
      <c r="G173" s="19" t="s">
        <v>224</v>
      </c>
      <c r="H173" s="19"/>
      <c r="I173" s="44"/>
      <c r="J173" s="88"/>
      <c r="K173" s="8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" customHeight="1">
      <c r="A174" s="168"/>
      <c r="B174" s="94" t="s">
        <v>225</v>
      </c>
      <c r="C174" s="121" t="s">
        <v>226</v>
      </c>
      <c r="D174" s="121">
        <v>2048</v>
      </c>
      <c r="E174" s="65" t="str">
        <f t="shared" si="18"/>
        <v>F4000000</v>
      </c>
      <c r="F174" s="65" t="str">
        <f t="shared" si="19"/>
        <v>F41FFFFF</v>
      </c>
      <c r="G174" s="122" t="s">
        <v>37</v>
      </c>
      <c r="H174" s="122"/>
      <c r="I174" s="123"/>
      <c r="J174" s="138" t="s">
        <v>42</v>
      </c>
      <c r="K174" s="8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" customHeight="1">
      <c r="A175" s="169"/>
      <c r="B175" s="95" t="s">
        <v>227</v>
      </c>
      <c r="C175" s="96" t="s">
        <v>228</v>
      </c>
      <c r="D175" s="96">
        <v>65536</v>
      </c>
      <c r="E175" s="65" t="str">
        <f t="shared" si="18"/>
        <v>F0000000</v>
      </c>
      <c r="F175" s="65" t="str">
        <f t="shared" si="19"/>
        <v>F3FFFFFF</v>
      </c>
      <c r="G175" s="97" t="s">
        <v>229</v>
      </c>
      <c r="H175" s="97"/>
      <c r="I175" s="98"/>
      <c r="J175" s="99" t="s">
        <v>66</v>
      </c>
      <c r="K175" s="84" t="s">
        <v>230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">
      <c r="A176" s="19" t="s">
        <v>23</v>
      </c>
      <c r="B176" s="19" t="s">
        <v>23</v>
      </c>
      <c r="C176" s="38" t="s">
        <v>27</v>
      </c>
      <c r="D176" s="38" t="s">
        <v>231</v>
      </c>
      <c r="E176" s="140" t="s">
        <v>232</v>
      </c>
      <c r="F176" s="38" t="s">
        <v>233</v>
      </c>
      <c r="G176" s="38" t="s">
        <v>231</v>
      </c>
      <c r="H176" s="38"/>
      <c r="I176" s="60"/>
      <c r="J176" s="38"/>
      <c r="K176" s="8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">
      <c r="A177" s="19" t="s">
        <v>23</v>
      </c>
      <c r="B177" s="19" t="s">
        <v>23</v>
      </c>
      <c r="C177" s="38" t="s">
        <v>27</v>
      </c>
      <c r="D177" s="60" t="s">
        <v>234</v>
      </c>
      <c r="E177" s="108" t="s">
        <v>235</v>
      </c>
      <c r="F177" s="145" t="s">
        <v>236</v>
      </c>
      <c r="G177" s="38" t="s">
        <v>237</v>
      </c>
      <c r="H177" s="38"/>
      <c r="I177" s="60"/>
      <c r="J177" s="38"/>
      <c r="K177" s="8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">
      <c r="A178" s="122"/>
      <c r="B178" s="77"/>
      <c r="C178" s="150"/>
      <c r="D178" s="151"/>
      <c r="E178" s="152"/>
      <c r="F178" s="153"/>
      <c r="G178" s="154"/>
      <c r="H178" s="154"/>
      <c r="I178" s="151"/>
      <c r="J178" s="154"/>
      <c r="K178" s="8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">
      <c r="A179" s="164" t="s">
        <v>238</v>
      </c>
      <c r="B179" s="141"/>
      <c r="C179" s="141" t="s">
        <v>239</v>
      </c>
      <c r="D179" s="142" t="s">
        <v>231</v>
      </c>
      <c r="E179" s="141">
        <v>10000000</v>
      </c>
      <c r="F179" s="142" t="s">
        <v>240</v>
      </c>
      <c r="G179" s="142"/>
      <c r="H179" s="142"/>
      <c r="I179" s="143"/>
      <c r="J179" s="142" t="s">
        <v>66</v>
      </c>
      <c r="K179" s="8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">
      <c r="A180" s="165"/>
      <c r="B180" s="141"/>
      <c r="C180" s="141" t="s">
        <v>241</v>
      </c>
      <c r="D180" s="142" t="s">
        <v>242</v>
      </c>
      <c r="E180" s="142" t="s">
        <v>243</v>
      </c>
      <c r="F180" s="142" t="s">
        <v>244</v>
      </c>
      <c r="G180" s="142"/>
      <c r="H180" s="142"/>
      <c r="I180" s="143"/>
      <c r="J180" s="142" t="s">
        <v>66</v>
      </c>
      <c r="K180" s="8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">
      <c r="A181" s="165"/>
      <c r="B181" s="141"/>
      <c r="C181" s="141" t="s">
        <v>245</v>
      </c>
      <c r="D181" s="142" t="s">
        <v>246</v>
      </c>
      <c r="E181" s="144" t="s">
        <v>247</v>
      </c>
      <c r="F181" s="142" t="s">
        <v>248</v>
      </c>
      <c r="G181" s="142"/>
      <c r="H181" s="142"/>
      <c r="I181" s="143"/>
      <c r="J181" s="142" t="s">
        <v>66</v>
      </c>
      <c r="K181" s="8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">
      <c r="A182" s="166"/>
      <c r="B182" s="141"/>
      <c r="C182" s="141" t="s">
        <v>249</v>
      </c>
      <c r="D182" s="142" t="s">
        <v>250</v>
      </c>
      <c r="E182" s="144" t="s">
        <v>235</v>
      </c>
      <c r="F182" s="142" t="s">
        <v>251</v>
      </c>
      <c r="G182" s="142"/>
      <c r="H182" s="142"/>
      <c r="I182" s="143"/>
      <c r="J182" s="142" t="s">
        <v>66</v>
      </c>
      <c r="K182" s="8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">
      <c r="A183" s="1"/>
      <c r="B183" s="8"/>
      <c r="C183" s="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" customHeight="1">
      <c r="A184" s="174" t="s">
        <v>252</v>
      </c>
      <c r="B184" s="33"/>
      <c r="C184" s="33" t="s">
        <v>253</v>
      </c>
      <c r="D184" s="107" t="s">
        <v>35</v>
      </c>
      <c r="E184" s="114" t="s">
        <v>254</v>
      </c>
      <c r="F184" s="33" t="s">
        <v>255</v>
      </c>
      <c r="G184" s="33"/>
      <c r="H184" s="33"/>
      <c r="I184" s="105"/>
      <c r="J184" s="33" t="s">
        <v>66</v>
      </c>
      <c r="K184" s="1" t="s">
        <v>256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">
      <c r="A185" s="175"/>
      <c r="B185" s="37"/>
      <c r="C185" s="37" t="s">
        <v>257</v>
      </c>
      <c r="D185" s="33" t="s">
        <v>35</v>
      </c>
      <c r="E185" s="33" t="s">
        <v>258</v>
      </c>
      <c r="F185" s="33" t="s">
        <v>259</v>
      </c>
      <c r="G185" s="33"/>
      <c r="H185" s="33"/>
      <c r="I185" s="105"/>
      <c r="J185" s="33" t="s">
        <v>66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">
      <c r="A186" s="175"/>
      <c r="B186" s="37"/>
      <c r="C186" s="37" t="s">
        <v>241</v>
      </c>
      <c r="D186" s="33" t="s">
        <v>35</v>
      </c>
      <c r="E186" s="106" t="s">
        <v>260</v>
      </c>
      <c r="F186" s="33" t="s">
        <v>261</v>
      </c>
      <c r="G186" s="33"/>
      <c r="H186" s="33"/>
      <c r="I186" s="105"/>
      <c r="J186" s="33" t="s">
        <v>66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">
      <c r="A187" s="175"/>
      <c r="B187" s="146"/>
      <c r="C187" s="146" t="s">
        <v>262</v>
      </c>
      <c r="D187" s="147" t="s">
        <v>35</v>
      </c>
      <c r="E187" s="148" t="s">
        <v>263</v>
      </c>
      <c r="F187" s="147" t="s">
        <v>264</v>
      </c>
      <c r="G187" s="147"/>
      <c r="H187" s="147"/>
      <c r="I187" s="149"/>
      <c r="J187" s="147" t="s">
        <v>66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">
      <c r="A188" s="175"/>
      <c r="B188" s="33"/>
      <c r="C188" s="33" t="s">
        <v>265</v>
      </c>
      <c r="D188" s="33" t="s">
        <v>35</v>
      </c>
      <c r="E188" s="33" t="s">
        <v>266</v>
      </c>
      <c r="F188" s="33" t="s">
        <v>267</v>
      </c>
      <c r="G188" s="33" t="s">
        <v>35</v>
      </c>
      <c r="H188" s="33"/>
      <c r="I188" s="33"/>
      <c r="J188" s="33" t="s">
        <v>66</v>
      </c>
      <c r="K188" s="8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">
      <c r="A189" s="1"/>
      <c r="B189" s="8"/>
      <c r="C189" s="8"/>
      <c r="D189" s="8"/>
      <c r="E189" s="8"/>
      <c r="F189" s="8"/>
      <c r="G189" s="8"/>
      <c r="H189" s="8"/>
      <c r="I189" s="8"/>
      <c r="J189" s="8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</sheetData>
  <mergeCells count="6">
    <mergeCell ref="A179:A182"/>
    <mergeCell ref="A167:A175"/>
    <mergeCell ref="A18:A148"/>
    <mergeCell ref="A3:A17"/>
    <mergeCell ref="A184:A188"/>
    <mergeCell ref="A149:A164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F8156-1B15-4CCC-835B-AEDB41075495}">
  <dimension ref="A1"/>
  <sheetViews>
    <sheetView workbookViewId="0">
      <selection activeCell="E35" sqref="E35"/>
    </sheetView>
  </sheetViews>
  <sheetFormatPr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75BE4-9CBB-4AF7-9960-8F4BF914928F}">
  <dimension ref="B4:G7"/>
  <sheetViews>
    <sheetView tabSelected="1" workbookViewId="0">
      <selection activeCell="C8" sqref="C8"/>
    </sheetView>
  </sheetViews>
  <sheetFormatPr defaultRowHeight="12.75"/>
  <cols>
    <col min="2" max="2" width="12.140625" customWidth="1"/>
    <col min="3" max="3" width="16.28515625" customWidth="1"/>
    <col min="4" max="4" width="20.42578125" customWidth="1"/>
  </cols>
  <sheetData>
    <row r="4" spans="2:7" ht="13.5">
      <c r="B4" s="27" t="s">
        <v>45</v>
      </c>
      <c r="C4" s="28" t="str">
        <f>'top memory_map_v0.2'!E20</f>
        <v>FE500000</v>
      </c>
      <c r="D4" s="27" t="str">
        <f>'top memory_map_v0.2'!F20</f>
        <v>FE53FFFF</v>
      </c>
      <c r="E4" s="27"/>
      <c r="F4" s="28"/>
      <c r="G4" s="28"/>
    </row>
    <row r="5" spans="2:7">
      <c r="B5" t="s">
        <v>268</v>
      </c>
      <c r="C5" t="s">
        <v>269</v>
      </c>
    </row>
    <row r="6" spans="2:7">
      <c r="B6" t="s">
        <v>270</v>
      </c>
      <c r="C6" t="s">
        <v>271</v>
      </c>
    </row>
    <row r="7" spans="2:7">
      <c r="B7" t="s">
        <v>272</v>
      </c>
      <c r="C7" t="s">
        <v>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FBA3-400B-4E25-8F61-8BF53A5D64EF}">
  <dimension ref="A1:H30"/>
  <sheetViews>
    <sheetView workbookViewId="0">
      <selection activeCell="H20" sqref="H20"/>
    </sheetView>
  </sheetViews>
  <sheetFormatPr defaultRowHeight="12.75"/>
  <cols>
    <col min="1" max="1" width="9.140625" bestFit="1" customWidth="1"/>
    <col min="3" max="3" width="18.7109375" customWidth="1"/>
    <col min="4" max="4" width="18.7109375" style="118" customWidth="1"/>
    <col min="5" max="5" width="19.7109375" customWidth="1"/>
    <col min="6" max="6" width="12.85546875" customWidth="1"/>
  </cols>
  <sheetData>
    <row r="1" spans="1:8" ht="15">
      <c r="A1" s="182"/>
      <c r="B1" s="182"/>
      <c r="C1" s="182"/>
      <c r="D1" s="183"/>
      <c r="E1" s="182"/>
      <c r="F1" s="182"/>
      <c r="G1" s="182"/>
      <c r="H1" s="182"/>
    </row>
    <row r="2" spans="1:8" ht="15">
      <c r="A2" s="182"/>
      <c r="B2" s="182"/>
      <c r="C2" s="182"/>
      <c r="D2" s="184"/>
      <c r="E2" s="185" t="s">
        <v>13</v>
      </c>
      <c r="F2" s="185" t="s">
        <v>14</v>
      </c>
      <c r="G2" s="182"/>
      <c r="H2" s="182"/>
    </row>
    <row r="3" spans="1:8" ht="15">
      <c r="A3" s="182"/>
      <c r="B3" s="182"/>
      <c r="C3" s="185"/>
      <c r="D3" s="157" t="s">
        <v>274</v>
      </c>
      <c r="E3" s="158" t="s">
        <v>275</v>
      </c>
      <c r="F3" s="159" t="s">
        <v>276</v>
      </c>
      <c r="G3" s="185"/>
      <c r="H3" s="182"/>
    </row>
    <row r="4" spans="1:8" ht="15">
      <c r="A4" s="182"/>
      <c r="B4" s="182"/>
      <c r="C4" s="185"/>
      <c r="D4" s="184"/>
      <c r="E4" s="160"/>
      <c r="F4" s="160"/>
      <c r="G4" s="185"/>
      <c r="H4" s="182"/>
    </row>
    <row r="5" spans="1:8" ht="15">
      <c r="A5" s="182"/>
      <c r="B5" s="182"/>
      <c r="C5" s="186" t="s">
        <v>277</v>
      </c>
      <c r="D5" s="184" t="s">
        <v>278</v>
      </c>
      <c r="E5" s="182" t="s">
        <v>279</v>
      </c>
      <c r="F5" s="185" t="s">
        <v>280</v>
      </c>
      <c r="G5" s="182"/>
      <c r="H5" s="182"/>
    </row>
    <row r="6" spans="1:8" ht="15">
      <c r="A6" s="182"/>
      <c r="B6" s="182"/>
      <c r="C6" s="182" t="s">
        <v>281</v>
      </c>
      <c r="D6" s="183" t="s">
        <v>282</v>
      </c>
      <c r="E6" s="182" t="s">
        <v>283</v>
      </c>
      <c r="F6" s="182" t="s">
        <v>284</v>
      </c>
      <c r="G6" s="182"/>
      <c r="H6" s="182"/>
    </row>
    <row r="7" spans="1:8" ht="15">
      <c r="A7" s="182"/>
      <c r="B7" s="182"/>
      <c r="C7" s="182" t="s">
        <v>285</v>
      </c>
      <c r="D7" s="183" t="s">
        <v>286</v>
      </c>
      <c r="E7" s="182" t="s">
        <v>287</v>
      </c>
      <c r="F7" s="182" t="s">
        <v>288</v>
      </c>
      <c r="G7" s="182"/>
      <c r="H7" s="182"/>
    </row>
    <row r="8" spans="1:8" ht="15">
      <c r="A8" s="182"/>
      <c r="B8" s="182"/>
      <c r="C8" s="182" t="s">
        <v>289</v>
      </c>
      <c r="D8" s="183" t="s">
        <v>290</v>
      </c>
      <c r="E8" s="182" t="s">
        <v>291</v>
      </c>
      <c r="F8" s="182" t="s">
        <v>292</v>
      </c>
      <c r="G8" s="182"/>
      <c r="H8" s="182"/>
    </row>
    <row r="9" spans="1:8" ht="15">
      <c r="A9" s="182"/>
      <c r="B9" s="182"/>
      <c r="C9" s="182" t="s">
        <v>293</v>
      </c>
      <c r="D9" s="183" t="s">
        <v>294</v>
      </c>
      <c r="E9" s="182" t="s">
        <v>295</v>
      </c>
      <c r="F9" s="182" t="s">
        <v>296</v>
      </c>
      <c r="G9" s="182"/>
      <c r="H9" s="182"/>
    </row>
    <row r="10" spans="1:8" ht="15">
      <c r="A10" s="182"/>
      <c r="B10" s="182"/>
      <c r="C10" s="182" t="s">
        <v>297</v>
      </c>
      <c r="D10" s="183" t="s">
        <v>298</v>
      </c>
      <c r="E10" s="182" t="s">
        <v>299</v>
      </c>
      <c r="F10" s="182" t="s">
        <v>300</v>
      </c>
      <c r="G10" s="182"/>
      <c r="H10" s="182"/>
    </row>
    <row r="11" spans="1:8" ht="15">
      <c r="A11" s="182"/>
      <c r="B11" s="182"/>
      <c r="C11" s="182" t="s">
        <v>301</v>
      </c>
      <c r="D11" s="183" t="s">
        <v>302</v>
      </c>
      <c r="E11" s="182" t="s">
        <v>303</v>
      </c>
      <c r="F11" s="182" t="s">
        <v>304</v>
      </c>
      <c r="G11" s="182"/>
      <c r="H11" s="182"/>
    </row>
    <row r="12" spans="1:8" ht="15">
      <c r="A12" s="182"/>
      <c r="B12" s="182"/>
      <c r="C12" s="182" t="s">
        <v>305</v>
      </c>
      <c r="D12" s="183" t="s">
        <v>306</v>
      </c>
      <c r="E12" s="182" t="s">
        <v>307</v>
      </c>
      <c r="F12" s="182" t="s">
        <v>308</v>
      </c>
      <c r="G12" s="182"/>
      <c r="H12" s="182"/>
    </row>
    <row r="13" spans="1:8" ht="15">
      <c r="A13" s="182"/>
      <c r="B13" s="182"/>
      <c r="C13" s="182" t="s">
        <v>309</v>
      </c>
      <c r="D13" s="183" t="s">
        <v>310</v>
      </c>
      <c r="E13" s="182" t="s">
        <v>311</v>
      </c>
      <c r="F13" s="182" t="s">
        <v>312</v>
      </c>
      <c r="G13" s="182"/>
      <c r="H13" s="182"/>
    </row>
    <row r="14" spans="1:8" ht="15">
      <c r="A14" s="182"/>
      <c r="B14" s="182"/>
      <c r="C14" s="182" t="s">
        <v>313</v>
      </c>
      <c r="D14" s="183" t="s">
        <v>314</v>
      </c>
      <c r="E14" s="182" t="s">
        <v>315</v>
      </c>
      <c r="F14" s="182" t="s">
        <v>316</v>
      </c>
      <c r="G14" s="182"/>
      <c r="H14" s="182"/>
    </row>
    <row r="15" spans="1:8" ht="15">
      <c r="A15" s="182"/>
      <c r="B15" s="182"/>
      <c r="C15" s="182"/>
      <c r="D15" s="183"/>
      <c r="E15" s="182"/>
      <c r="F15" s="182"/>
      <c r="G15" s="182"/>
      <c r="H15" s="182"/>
    </row>
    <row r="16" spans="1:8" ht="15">
      <c r="A16" s="182"/>
      <c r="B16" s="182"/>
      <c r="C16" s="182"/>
      <c r="D16" s="183"/>
      <c r="E16" s="182"/>
      <c r="F16" s="182"/>
      <c r="G16" s="182"/>
      <c r="H16" s="182"/>
    </row>
    <row r="17" spans="1:8" ht="15">
      <c r="A17" s="182"/>
      <c r="B17" s="182"/>
      <c r="C17" s="182"/>
      <c r="D17" s="183"/>
      <c r="E17" s="182"/>
      <c r="F17" s="182"/>
      <c r="G17" s="182"/>
      <c r="H17" s="182"/>
    </row>
    <row r="18" spans="1:8" ht="15">
      <c r="A18" s="182"/>
      <c r="B18" s="182"/>
      <c r="C18" s="182"/>
      <c r="D18" s="183"/>
      <c r="E18" s="182"/>
      <c r="F18" s="182"/>
      <c r="G18" s="182"/>
      <c r="H18" s="182"/>
    </row>
    <row r="19" spans="1:8" ht="15">
      <c r="A19" s="182"/>
      <c r="B19" s="182"/>
      <c r="C19" s="182"/>
      <c r="D19" s="183"/>
      <c r="E19" s="182"/>
      <c r="F19" s="182"/>
      <c r="G19" s="182"/>
      <c r="H19" s="182"/>
    </row>
    <row r="20" spans="1:8" ht="15">
      <c r="A20" s="182"/>
      <c r="B20" s="182"/>
      <c r="C20" s="182"/>
      <c r="D20" s="183"/>
      <c r="E20" s="182"/>
      <c r="F20" s="182"/>
      <c r="G20" s="182"/>
      <c r="H20" s="182"/>
    </row>
    <row r="21" spans="1:8">
      <c r="A21" s="155"/>
      <c r="B21" s="155"/>
      <c r="C21" s="155"/>
      <c r="D21" s="156"/>
      <c r="E21" s="155"/>
      <c r="F21" s="155"/>
      <c r="G21" s="155"/>
    </row>
    <row r="22" spans="1:8">
      <c r="A22" s="155"/>
      <c r="B22" s="155"/>
      <c r="C22" s="155"/>
      <c r="D22" s="156"/>
      <c r="E22" s="155"/>
      <c r="F22" s="155"/>
      <c r="G22" s="155"/>
    </row>
    <row r="23" spans="1:8">
      <c r="A23" s="155"/>
      <c r="B23" s="155"/>
      <c r="C23" s="155"/>
      <c r="D23" s="156"/>
      <c r="E23" s="155"/>
      <c r="F23" s="155"/>
      <c r="G23" s="155"/>
    </row>
    <row r="24" spans="1:8">
      <c r="A24" s="155"/>
      <c r="B24" s="155"/>
      <c r="C24" s="155"/>
      <c r="D24" s="156"/>
      <c r="E24" s="155"/>
      <c r="F24" s="155"/>
      <c r="G24" s="155"/>
    </row>
    <row r="25" spans="1:8">
      <c r="A25" s="155"/>
      <c r="B25" s="155"/>
      <c r="C25" s="155"/>
      <c r="D25" s="156"/>
      <c r="E25" s="155"/>
      <c r="F25" s="155"/>
      <c r="G25" s="155"/>
    </row>
    <row r="26" spans="1:8">
      <c r="A26" s="155"/>
      <c r="B26" s="155"/>
      <c r="C26" s="155"/>
      <c r="D26" s="156"/>
      <c r="E26" s="155"/>
      <c r="F26" s="155"/>
      <c r="G26" s="155"/>
    </row>
    <row r="27" spans="1:8">
      <c r="A27" s="155"/>
      <c r="B27" s="155"/>
      <c r="C27" s="155"/>
      <c r="D27" s="156"/>
      <c r="E27" s="155"/>
      <c r="F27" s="155"/>
      <c r="G27" s="155"/>
    </row>
    <row r="28" spans="1:8">
      <c r="A28" s="155"/>
      <c r="B28" s="155"/>
      <c r="C28" s="155"/>
      <c r="D28" s="156"/>
      <c r="E28" s="155"/>
      <c r="F28" s="155"/>
      <c r="G28" s="155"/>
    </row>
    <row r="29" spans="1:8">
      <c r="A29" s="155"/>
      <c r="B29" s="155"/>
      <c r="C29" s="155"/>
      <c r="D29" s="156"/>
      <c r="E29" s="155"/>
      <c r="F29" s="155"/>
      <c r="G29" s="155"/>
    </row>
    <row r="30" spans="1:8">
      <c r="A30" s="155"/>
      <c r="B30" s="155"/>
      <c r="C30" s="155"/>
      <c r="D30" s="156"/>
      <c r="E30" s="155"/>
      <c r="F30" s="155"/>
      <c r="G30" s="15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F3C09-2C69-47BF-A915-F63ED2B1C710}">
  <dimension ref="A1:R34"/>
  <sheetViews>
    <sheetView topLeftCell="A16" workbookViewId="0">
      <selection activeCell="J46" sqref="J46"/>
    </sheetView>
  </sheetViews>
  <sheetFormatPr defaultRowHeight="12.75"/>
  <cols>
    <col min="1" max="1" width="20.7109375" customWidth="1"/>
    <col min="3" max="3" width="16.28515625" bestFit="1" customWidth="1"/>
    <col min="5" max="5" width="10" bestFit="1" customWidth="1"/>
    <col min="6" max="6" width="9.7109375" bestFit="1" customWidth="1"/>
    <col min="12" max="12" width="10.85546875" bestFit="1" customWidth="1"/>
    <col min="13" max="13" width="10.5703125" bestFit="1" customWidth="1"/>
    <col min="17" max="18" width="10.85546875" bestFit="1" customWidth="1"/>
  </cols>
  <sheetData>
    <row r="1" spans="1:13" ht="15">
      <c r="A1" s="49"/>
      <c r="B1" s="49"/>
      <c r="C1" s="49" t="s">
        <v>317</v>
      </c>
      <c r="D1" s="49" t="s">
        <v>12</v>
      </c>
      <c r="E1" s="49" t="s">
        <v>13</v>
      </c>
      <c r="F1" s="49" t="s">
        <v>14</v>
      </c>
    </row>
    <row r="2" spans="1:13" ht="15">
      <c r="A2" s="179" t="s">
        <v>40</v>
      </c>
      <c r="B2" s="187"/>
      <c r="C2" s="187" t="s">
        <v>27</v>
      </c>
      <c r="D2" s="187">
        <v>8</v>
      </c>
      <c r="E2" s="187" t="str">
        <f>DEC2HEX(HEX2DEC(F2)-D2*1024+1)</f>
        <v>FE5BE000</v>
      </c>
      <c r="F2" s="187" t="str">
        <f>'top memory_map_v0.2'!F18</f>
        <v>FE5BFFFF</v>
      </c>
    </row>
    <row r="3" spans="1:13" ht="15">
      <c r="A3" s="180"/>
      <c r="B3" s="187"/>
      <c r="C3" s="187" t="s">
        <v>27</v>
      </c>
      <c r="D3" s="187">
        <v>8</v>
      </c>
      <c r="E3" s="187" t="str">
        <f>DEC2HEX(HEX2DEC(F3)-D3*1024+1)</f>
        <v>FE5BC000</v>
      </c>
      <c r="F3" s="187" t="str">
        <f>DEC2HEX(HEX2DEC(F2)-D2*1024)</f>
        <v>FE5BDFFF</v>
      </c>
    </row>
    <row r="4" spans="1:13" ht="15">
      <c r="A4" s="180"/>
      <c r="B4" s="187"/>
      <c r="C4" s="187" t="s">
        <v>27</v>
      </c>
      <c r="D4" s="187">
        <v>8</v>
      </c>
      <c r="E4" s="187" t="str">
        <f t="shared" ref="E4:E33" si="0">DEC2HEX(HEX2DEC(F4)-D4*1024+1)</f>
        <v>FE5BA000</v>
      </c>
      <c r="F4" s="187" t="str">
        <f t="shared" ref="F4:F32" si="1">DEC2HEX(HEX2DEC(F3)-D3*1024)</f>
        <v>FE5BBFFF</v>
      </c>
    </row>
    <row r="5" spans="1:13" ht="15">
      <c r="A5" s="180"/>
      <c r="B5" s="187"/>
      <c r="C5" s="187" t="s">
        <v>27</v>
      </c>
      <c r="D5" s="187">
        <v>8</v>
      </c>
      <c r="E5" s="187" t="str">
        <f t="shared" si="0"/>
        <v>FE5B8000</v>
      </c>
      <c r="F5" s="187" t="str">
        <f t="shared" si="1"/>
        <v>FE5B9FFF</v>
      </c>
    </row>
    <row r="6" spans="1:13" ht="15">
      <c r="A6" s="180"/>
      <c r="B6" s="187"/>
      <c r="C6" s="187" t="s">
        <v>27</v>
      </c>
      <c r="D6" s="187">
        <v>8</v>
      </c>
      <c r="E6" s="187" t="str">
        <f t="shared" si="0"/>
        <v>FE5B6000</v>
      </c>
      <c r="F6" s="187" t="str">
        <f t="shared" si="1"/>
        <v>FE5B7FFF</v>
      </c>
    </row>
    <row r="7" spans="1:13" ht="15">
      <c r="A7" s="180"/>
      <c r="B7" s="187"/>
      <c r="C7" s="187" t="s">
        <v>27</v>
      </c>
      <c r="D7" s="187">
        <v>8</v>
      </c>
      <c r="E7" s="187" t="str">
        <f t="shared" si="0"/>
        <v>FE5B4000</v>
      </c>
      <c r="F7" s="187" t="str">
        <f t="shared" si="1"/>
        <v>FE5B5FFF</v>
      </c>
    </row>
    <row r="8" spans="1:13" ht="15">
      <c r="A8" s="180"/>
      <c r="B8" s="187"/>
      <c r="C8" s="187" t="s">
        <v>27</v>
      </c>
      <c r="D8" s="187">
        <v>8</v>
      </c>
      <c r="E8" s="187" t="str">
        <f t="shared" si="0"/>
        <v>FE5B2000</v>
      </c>
      <c r="F8" s="187" t="str">
        <f t="shared" si="1"/>
        <v>FE5B3FFF</v>
      </c>
    </row>
    <row r="9" spans="1:13" ht="15">
      <c r="A9" s="180"/>
      <c r="B9" s="187"/>
      <c r="C9" s="187" t="s">
        <v>27</v>
      </c>
      <c r="D9" s="187">
        <v>8</v>
      </c>
      <c r="E9" s="187" t="str">
        <f t="shared" si="0"/>
        <v>FE5B0000</v>
      </c>
      <c r="F9" s="187" t="str">
        <f t="shared" si="1"/>
        <v>FE5B1FFF</v>
      </c>
    </row>
    <row r="10" spans="1:13" ht="15">
      <c r="A10" s="180"/>
      <c r="B10" s="187"/>
      <c r="C10" s="187" t="s">
        <v>27</v>
      </c>
      <c r="D10" s="187">
        <v>8</v>
      </c>
      <c r="E10" s="187" t="str">
        <f t="shared" si="0"/>
        <v>FE5AE000</v>
      </c>
      <c r="F10" s="187" t="str">
        <f t="shared" si="1"/>
        <v>FE5AFFFF</v>
      </c>
    </row>
    <row r="11" spans="1:13" ht="15">
      <c r="A11" s="180"/>
      <c r="B11" s="187"/>
      <c r="C11" s="187" t="s">
        <v>27</v>
      </c>
      <c r="D11" s="187">
        <v>8</v>
      </c>
      <c r="E11" s="187" t="str">
        <f t="shared" si="0"/>
        <v>FE5AC000</v>
      </c>
      <c r="F11" s="187" t="str">
        <f t="shared" si="1"/>
        <v>FE5ADFFF</v>
      </c>
    </row>
    <row r="12" spans="1:13" ht="15">
      <c r="A12" s="180"/>
      <c r="B12" s="187"/>
      <c r="C12" s="47" t="s">
        <v>27</v>
      </c>
      <c r="D12" s="187">
        <v>8</v>
      </c>
      <c r="E12" s="187" t="str">
        <f t="shared" si="0"/>
        <v>FE5AA000</v>
      </c>
      <c r="F12" s="187" t="str">
        <f t="shared" si="1"/>
        <v>FE5ABFFF</v>
      </c>
    </row>
    <row r="13" spans="1:13" ht="15">
      <c r="A13" s="180"/>
      <c r="B13" s="187"/>
      <c r="C13" s="47" t="s">
        <v>27</v>
      </c>
      <c r="D13" s="187">
        <v>8</v>
      </c>
      <c r="E13" s="187" t="str">
        <f t="shared" si="0"/>
        <v>FE5A8000</v>
      </c>
      <c r="F13" s="187" t="str">
        <f t="shared" si="1"/>
        <v>FE5A9FFF</v>
      </c>
    </row>
    <row r="14" spans="1:13" ht="15">
      <c r="A14" s="180"/>
      <c r="B14" s="188"/>
      <c r="C14" s="47" t="s">
        <v>27</v>
      </c>
      <c r="D14" s="187">
        <v>8</v>
      </c>
      <c r="E14" s="187" t="str">
        <f t="shared" si="0"/>
        <v>FE5A6000</v>
      </c>
      <c r="F14" s="187" t="str">
        <f t="shared" si="1"/>
        <v>FE5A7FFF</v>
      </c>
    </row>
    <row r="15" spans="1:13" ht="15">
      <c r="A15" s="180"/>
      <c r="B15" s="188"/>
      <c r="C15" s="47" t="s">
        <v>27</v>
      </c>
      <c r="D15" s="187">
        <v>8</v>
      </c>
      <c r="E15" s="187" t="str">
        <f t="shared" si="0"/>
        <v>FE5A4000</v>
      </c>
      <c r="F15" s="187" t="str">
        <f t="shared" si="1"/>
        <v>FE5A5FFF</v>
      </c>
      <c r="J15" s="68"/>
    </row>
    <row r="16" spans="1:13" ht="15">
      <c r="A16" s="180"/>
      <c r="B16" s="188"/>
      <c r="C16" s="47" t="s">
        <v>27</v>
      </c>
      <c r="D16" s="187">
        <v>8</v>
      </c>
      <c r="E16" s="187" t="str">
        <f t="shared" si="0"/>
        <v>FE5A2000</v>
      </c>
      <c r="F16" s="187" t="str">
        <f t="shared" si="1"/>
        <v>FE5A3FFF</v>
      </c>
      <c r="K16" s="69" t="s">
        <v>157</v>
      </c>
      <c r="L16" s="69" t="s">
        <v>158</v>
      </c>
      <c r="M16" s="69" t="s">
        <v>159</v>
      </c>
    </row>
    <row r="17" spans="1:18" ht="15">
      <c r="A17" s="180"/>
      <c r="B17" s="188"/>
      <c r="C17" s="47" t="s">
        <v>27</v>
      </c>
      <c r="D17" s="187">
        <v>8</v>
      </c>
      <c r="E17" s="187" t="str">
        <f t="shared" si="0"/>
        <v>FE5A0000</v>
      </c>
      <c r="F17" s="187" t="str">
        <f t="shared" si="1"/>
        <v>FE5A1FFF</v>
      </c>
      <c r="J17" s="72"/>
      <c r="K17" s="72"/>
      <c r="L17" s="72"/>
      <c r="M17" s="72"/>
    </row>
    <row r="18" spans="1:18" ht="15">
      <c r="A18" s="180"/>
      <c r="B18" s="188"/>
      <c r="C18" s="47" t="s">
        <v>27</v>
      </c>
      <c r="D18" s="187">
        <v>8</v>
      </c>
      <c r="E18" s="187" t="str">
        <f t="shared" si="0"/>
        <v>FE59E000</v>
      </c>
      <c r="F18" s="187" t="str">
        <f t="shared" si="1"/>
        <v>FE59FFFF</v>
      </c>
      <c r="J18" s="72"/>
      <c r="K18" s="72"/>
      <c r="L18" s="72"/>
      <c r="M18" s="72"/>
    </row>
    <row r="19" spans="1:18" ht="15">
      <c r="A19" s="180"/>
      <c r="B19" s="188"/>
      <c r="C19" s="47" t="s">
        <v>27</v>
      </c>
      <c r="D19" s="187">
        <v>8</v>
      </c>
      <c r="E19" s="187" t="str">
        <f t="shared" si="0"/>
        <v>FE59C000</v>
      </c>
      <c r="F19" s="187" t="str">
        <f t="shared" si="1"/>
        <v>FE59DFFF</v>
      </c>
      <c r="J19" s="70" t="s">
        <v>318</v>
      </c>
      <c r="K19" s="70" t="s">
        <v>319</v>
      </c>
      <c r="L19" s="70" t="s">
        <v>320</v>
      </c>
      <c r="M19" s="70" t="s">
        <v>321</v>
      </c>
    </row>
    <row r="20" spans="1:18" ht="15">
      <c r="A20" s="180"/>
      <c r="B20" s="189"/>
      <c r="C20" s="50" t="s">
        <v>322</v>
      </c>
      <c r="D20" s="190">
        <v>8</v>
      </c>
      <c r="E20" s="190" t="str">
        <f t="shared" si="0"/>
        <v>FE59A000</v>
      </c>
      <c r="F20" s="190" t="str">
        <f t="shared" si="1"/>
        <v>FE59BFFF</v>
      </c>
      <c r="G20" s="51"/>
      <c r="H20" s="51"/>
      <c r="I20" s="51"/>
      <c r="J20" s="70" t="s">
        <v>323</v>
      </c>
      <c r="K20" s="70" t="s">
        <v>319</v>
      </c>
      <c r="L20" s="70" t="s">
        <v>324</v>
      </c>
      <c r="M20" s="70" t="s">
        <v>325</v>
      </c>
    </row>
    <row r="21" spans="1:18" ht="15">
      <c r="A21" s="180"/>
      <c r="B21" s="188"/>
      <c r="C21" s="47" t="s">
        <v>27</v>
      </c>
      <c r="D21" s="187">
        <v>8</v>
      </c>
      <c r="E21" s="187" t="str">
        <f t="shared" si="0"/>
        <v>FE598000</v>
      </c>
      <c r="F21" s="187" t="str">
        <f t="shared" si="1"/>
        <v>FE599FFF</v>
      </c>
      <c r="O21" s="68"/>
      <c r="P21" s="69" t="s">
        <v>157</v>
      </c>
      <c r="Q21" s="69" t="s">
        <v>158</v>
      </c>
      <c r="R21" s="69" t="s">
        <v>159</v>
      </c>
    </row>
    <row r="22" spans="1:18" ht="15">
      <c r="A22" s="180"/>
      <c r="B22" s="188"/>
      <c r="C22" s="47" t="s">
        <v>27</v>
      </c>
      <c r="D22" s="187">
        <v>8</v>
      </c>
      <c r="E22" s="187" t="str">
        <f t="shared" si="0"/>
        <v>FE596000</v>
      </c>
      <c r="F22" s="187" t="str">
        <f t="shared" si="1"/>
        <v>FE597FFF</v>
      </c>
      <c r="O22" s="72"/>
      <c r="P22" s="72"/>
      <c r="Q22" s="72"/>
      <c r="R22" s="72"/>
    </row>
    <row r="23" spans="1:18" ht="15">
      <c r="A23" s="180"/>
      <c r="B23" s="188"/>
      <c r="C23" s="47" t="s">
        <v>27</v>
      </c>
      <c r="D23" s="187">
        <v>8</v>
      </c>
      <c r="E23" s="187" t="str">
        <f t="shared" si="0"/>
        <v>FE594000</v>
      </c>
      <c r="F23" s="187" t="str">
        <f t="shared" si="1"/>
        <v>FE595FFF</v>
      </c>
      <c r="O23" s="72"/>
      <c r="P23" s="72"/>
      <c r="Q23" s="72"/>
      <c r="R23" s="72"/>
    </row>
    <row r="24" spans="1:18" ht="15">
      <c r="A24" s="180"/>
      <c r="B24" s="188"/>
      <c r="C24" s="47" t="s">
        <v>27</v>
      </c>
      <c r="D24" s="187">
        <v>8</v>
      </c>
      <c r="E24" s="187" t="str">
        <f t="shared" si="0"/>
        <v>FE592000</v>
      </c>
      <c r="F24" s="187" t="str">
        <f t="shared" si="1"/>
        <v>FE593FFF</v>
      </c>
      <c r="O24" s="70" t="s">
        <v>326</v>
      </c>
      <c r="P24" s="70" t="s">
        <v>163</v>
      </c>
      <c r="Q24" s="70" t="s">
        <v>327</v>
      </c>
      <c r="R24" s="70" t="s">
        <v>328</v>
      </c>
    </row>
    <row r="25" spans="1:18" ht="15">
      <c r="A25" s="180"/>
      <c r="B25" s="188"/>
      <c r="C25" s="47" t="s">
        <v>27</v>
      </c>
      <c r="D25" s="187">
        <v>8</v>
      </c>
      <c r="E25" s="187" t="str">
        <f t="shared" si="0"/>
        <v>FE590000</v>
      </c>
      <c r="F25" s="187" t="str">
        <f t="shared" si="1"/>
        <v>FE591FFF</v>
      </c>
      <c r="O25" s="70" t="s">
        <v>329</v>
      </c>
      <c r="P25" s="70" t="s">
        <v>163</v>
      </c>
      <c r="Q25" s="70" t="s">
        <v>330</v>
      </c>
      <c r="R25" s="70" t="s">
        <v>331</v>
      </c>
    </row>
    <row r="26" spans="1:18" ht="15">
      <c r="A26" s="180"/>
      <c r="B26" s="191"/>
      <c r="C26" s="64" t="s">
        <v>332</v>
      </c>
      <c r="D26" s="192">
        <v>8</v>
      </c>
      <c r="E26" s="192" t="str">
        <f t="shared" si="0"/>
        <v>FE58E000</v>
      </c>
      <c r="F26" s="192" t="str">
        <f t="shared" si="1"/>
        <v>FE58FFFF</v>
      </c>
      <c r="O26" s="70" t="s">
        <v>333</v>
      </c>
      <c r="P26" s="70" t="s">
        <v>163</v>
      </c>
      <c r="Q26" s="70" t="s">
        <v>334</v>
      </c>
      <c r="R26" s="70" t="s">
        <v>335</v>
      </c>
    </row>
    <row r="27" spans="1:18" ht="15">
      <c r="A27" s="180"/>
      <c r="B27" s="189"/>
      <c r="C27" s="50" t="s">
        <v>336</v>
      </c>
      <c r="D27" s="190">
        <v>8</v>
      </c>
      <c r="E27" s="190" t="str">
        <f t="shared" si="0"/>
        <v>FE58C000</v>
      </c>
      <c r="F27" s="190" t="str">
        <f t="shared" si="1"/>
        <v>FE58DFFF</v>
      </c>
      <c r="G27" s="71"/>
      <c r="H27" s="71"/>
      <c r="I27" s="71"/>
      <c r="J27" s="71"/>
      <c r="K27" s="71"/>
      <c r="L27" s="71"/>
      <c r="M27" s="71"/>
      <c r="N27" s="71"/>
      <c r="O27" s="70" t="s">
        <v>337</v>
      </c>
      <c r="P27" s="70" t="s">
        <v>163</v>
      </c>
      <c r="Q27" s="70" t="s">
        <v>338</v>
      </c>
      <c r="R27" s="70" t="s">
        <v>339</v>
      </c>
    </row>
    <row r="28" spans="1:18" ht="15">
      <c r="A28" s="180"/>
      <c r="B28" s="188"/>
      <c r="C28" s="47" t="s">
        <v>27</v>
      </c>
      <c r="D28" s="187">
        <v>8</v>
      </c>
      <c r="E28" s="187" t="str">
        <f t="shared" si="0"/>
        <v>FE58A000</v>
      </c>
      <c r="F28" s="187" t="str">
        <f t="shared" si="1"/>
        <v>FE58BFFF</v>
      </c>
    </row>
    <row r="29" spans="1:18" ht="15">
      <c r="A29" s="180"/>
      <c r="B29" s="188"/>
      <c r="C29" s="47" t="s">
        <v>27</v>
      </c>
      <c r="D29" s="187">
        <v>8</v>
      </c>
      <c r="E29" s="187" t="str">
        <f t="shared" si="0"/>
        <v>FE588000</v>
      </c>
      <c r="F29" s="187" t="str">
        <f t="shared" si="1"/>
        <v>FE589FFF</v>
      </c>
    </row>
    <row r="30" spans="1:18" ht="15">
      <c r="A30" s="180"/>
      <c r="B30" s="193"/>
      <c r="C30" s="48" t="s">
        <v>340</v>
      </c>
      <c r="D30" s="194">
        <v>8</v>
      </c>
      <c r="E30" s="194" t="str">
        <f t="shared" si="0"/>
        <v>FE586000</v>
      </c>
      <c r="F30" s="194" t="str">
        <f t="shared" si="1"/>
        <v>FE587FFF</v>
      </c>
    </row>
    <row r="31" spans="1:18" ht="15">
      <c r="A31" s="180"/>
      <c r="B31" s="188"/>
      <c r="C31" s="47" t="s">
        <v>27</v>
      </c>
      <c r="D31" s="187">
        <v>8</v>
      </c>
      <c r="E31" s="187" t="str">
        <f t="shared" si="0"/>
        <v>FE584000</v>
      </c>
      <c r="F31" s="187" t="str">
        <f t="shared" si="1"/>
        <v>FE585FFF</v>
      </c>
    </row>
    <row r="32" spans="1:18" ht="15">
      <c r="A32" s="180"/>
      <c r="B32" s="191"/>
      <c r="C32" s="64" t="s">
        <v>341</v>
      </c>
      <c r="D32" s="192">
        <v>8</v>
      </c>
      <c r="E32" s="192" t="str">
        <f t="shared" si="0"/>
        <v>FE582000</v>
      </c>
      <c r="F32" s="192" t="str">
        <f t="shared" si="1"/>
        <v>FE583FFF</v>
      </c>
    </row>
    <row r="33" spans="1:6" ht="15">
      <c r="A33" s="181"/>
      <c r="B33" s="116"/>
      <c r="C33" s="117" t="s">
        <v>181</v>
      </c>
      <c r="D33" s="192">
        <v>8</v>
      </c>
      <c r="E33" s="192" t="str">
        <f t="shared" si="0"/>
        <v>FE580000</v>
      </c>
      <c r="F33" s="192" t="str">
        <f t="shared" ref="F33" si="2">DEC2HEX(HEX2DEC(F32)-D32*1024)</f>
        <v>FE581FFF</v>
      </c>
    </row>
    <row r="34" spans="1:6">
      <c r="A34" s="5"/>
      <c r="B34" s="5"/>
      <c r="C34" s="5"/>
      <c r="D34" s="5"/>
      <c r="E34" s="5"/>
      <c r="F34" s="5"/>
    </row>
  </sheetData>
  <mergeCells count="1">
    <mergeCell ref="A2:A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b25987-8555-4f5b-a25b-d8242b244f1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34CA9E6BB59C46901355B8A2089AAC" ma:contentTypeVersion="10" ma:contentTypeDescription="Create a new document." ma:contentTypeScope="" ma:versionID="9e7ce32a65ff5751f9974dc47300c9c3">
  <xsd:schema xmlns:xsd="http://www.w3.org/2001/XMLSchema" xmlns:xs="http://www.w3.org/2001/XMLSchema" xmlns:p="http://schemas.microsoft.com/office/2006/metadata/properties" xmlns:ns2="15b25987-8555-4f5b-a25b-d8242b244f10" targetNamespace="http://schemas.microsoft.com/office/2006/metadata/properties" ma:root="true" ma:fieldsID="1432260ff8683b1f8cde452e46ddc179" ns2:_="">
    <xsd:import namespace="15b25987-8555-4f5b-a25b-d8242b244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25987-8555-4f5b-a25b-d8242b244f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bcd73f6-1826-485c-8e8b-27c69d9abe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5B08AE-FBBC-4D71-B5B4-EA5A63AB7F53}"/>
</file>

<file path=customXml/itemProps2.xml><?xml version="1.0" encoding="utf-8"?>
<ds:datastoreItem xmlns:ds="http://schemas.openxmlformats.org/officeDocument/2006/customXml" ds:itemID="{5B236E55-CD26-40A0-A0FF-E04081E37089}"/>
</file>

<file path=customXml/itemProps3.xml><?xml version="1.0" encoding="utf-8"?>
<ds:datastoreItem xmlns:ds="http://schemas.openxmlformats.org/officeDocument/2006/customXml" ds:itemID="{54355907-A13F-47C0-BB3C-D0C9E542ED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Lizhi Hu</cp:lastModifiedBy>
  <cp:revision/>
  <dcterms:created xsi:type="dcterms:W3CDTF">2023-12-06T16:54:41Z</dcterms:created>
  <dcterms:modified xsi:type="dcterms:W3CDTF">2025-09-05T13:03:13Z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0x010100B634CA9E6BB59C46901355B8A2089AAC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Order">
    <vt:r8>1900</vt:r8>
  </property>
  <property fmtid="{D5CDD505-2E9C-101B-9397-08002B2CF9AE}" pid="9" name="xd_Signature">
    <vt:bool>false</vt:bool>
  </property>
  <property fmtid="{D5CDD505-2E9C-101B-9397-08002B2CF9AE}" pid="10" name="SharedWithUsers">
    <vt:lpwstr>16;#Jian Liao;#33;#Faying Luo;#161;#Zhen Zhou</vt:lpwstr>
  </property>
  <property fmtid="{D5CDD505-2E9C-101B-9397-08002B2CF9AE}" pid="11" name="xd_ProgID">
    <vt:lpwstr/>
  </property>
  <property fmtid="{D5CDD505-2E9C-101B-9397-08002B2CF9AE}" pid="12" name="TemplateUrl">
    <vt:lpwstr/>
  </property>
  <property fmtid="{D5CDD505-2E9C-101B-9397-08002B2CF9AE}" pid="13" name="MediaServiceImageTags">
    <vt:lpwstr/>
  </property>
</Properties>
</file>